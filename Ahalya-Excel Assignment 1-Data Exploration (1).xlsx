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heet1" sheetId="2" r:id="rId5"/>
    <sheet state="visible" name="Dataset" sheetId="3" r:id="rId6"/>
  </sheets>
  <definedNames>
    <definedName hidden="1" localSheetId="2" name="_xlnm._FilterDatabase">Dataset!$A$1:$F$35</definedName>
    <definedName hidden="1" localSheetId="2" name="Z_DA1D20F5_CD82_4B8E_BB1A_FCD94967F943_.wvu.FilterData">Dataset!$H$1:$J$8</definedName>
    <definedName hidden="1" localSheetId="2" name="Z_849B7800_9D97_41AB_A0B3_F4EBDEA5DAE0_.wvu.FilterData">Dataset!$N$1:$P$35</definedName>
    <definedName hidden="1" localSheetId="2" name="Z_6EE02916_723F_431D_B2E3_1FB932CD2FC8_.wvu.FilterData">Dataset!$L$1:$L$35</definedName>
  </definedNames>
  <calcPr/>
  <customWorkbookViews>
    <customWorkbookView activeSheetId="0" maximized="1" windowHeight="0" windowWidth="0" guid="{DA1D20F5-CD82-4B8E-BB1A-FCD94967F943}" name="Table4 filter view"/>
    <customWorkbookView activeSheetId="0" maximized="1" windowHeight="0" windowWidth="0" guid="{6EE02916-723F-431D-B2E3-1FB932CD2FC8}" name="Table5 filter view"/>
    <customWorkbookView activeSheetId="0" maximized="1" windowHeight="0" windowWidth="0" guid="{849B7800-9D97-41AB-A0B3-F4EBDEA5DAE0}" name="Table6 filter view"/>
  </customWorkbookViews>
  <extLst>
    <ext uri="GoogleSheetsCustomDataVersion2">
      <go:sheetsCustomData xmlns:go="http://customooxmlschemas.google.com/" r:id="rId7" roundtripDataChecksum="4LzUiQ50qRkOw7z9nC3yLOct6zjRw8nbIxzW2JxIOEA="/>
    </ext>
  </extLst>
</workbook>
</file>

<file path=xl/sharedStrings.xml><?xml version="1.0" encoding="utf-8"?>
<sst xmlns="http://schemas.openxmlformats.org/spreadsheetml/2006/main" count="173" uniqueCount="124">
  <si>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</si>
  <si>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</si>
  <si>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</si>
  <si>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</si>
  <si>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</si>
  <si>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</si>
  <si>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</si>
  <si>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</si>
  <si>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</si>
  <si>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</si>
  <si>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</si>
  <si>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</si>
  <si>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</si>
  <si>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</si>
  <si>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</si>
  <si>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</si>
  <si>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</si>
  <si>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</si>
  <si>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</si>
  <si>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</si>
  <si>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</si>
  <si>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</si>
  <si>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</si>
  <si>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Calculations using Excel Function</t>
  </si>
  <si>
    <t>:</t>
  </si>
  <si>
    <t>Value</t>
  </si>
  <si>
    <t>Price Range</t>
  </si>
  <si>
    <t>Left</t>
  </si>
  <si>
    <t>Right</t>
  </si>
  <si>
    <t>Mid</t>
  </si>
  <si>
    <t>28-JAN-US</t>
  </si>
  <si>
    <t>Laptop</t>
  </si>
  <si>
    <t>Dell</t>
  </si>
  <si>
    <t>Electronics</t>
  </si>
  <si>
    <t>Total Price of the Product</t>
  </si>
  <si>
    <t>15-FEB-US</t>
  </si>
  <si>
    <t>Sneakers</t>
  </si>
  <si>
    <t>Nike</t>
  </si>
  <si>
    <t>Fashion</t>
  </si>
  <si>
    <t>Products Count</t>
  </si>
  <si>
    <t>03-MAR-US</t>
  </si>
  <si>
    <t>Coffee Maker</t>
  </si>
  <si>
    <t>Keurig</t>
  </si>
  <si>
    <t>Kitchen</t>
  </si>
  <si>
    <t>Average Price</t>
  </si>
  <si>
    <t>11-APR-US</t>
  </si>
  <si>
    <t>Smartphone</t>
  </si>
  <si>
    <t>Samsung</t>
  </si>
  <si>
    <t>Min Price of the product</t>
  </si>
  <si>
    <t>22-MAY-US</t>
  </si>
  <si>
    <t>Backpack</t>
  </si>
  <si>
    <t>North Face</t>
  </si>
  <si>
    <t>Outdoor</t>
  </si>
  <si>
    <t>Max Price of the product</t>
  </si>
  <si>
    <t>07-JUN-UK</t>
  </si>
  <si>
    <t>Headphones</t>
  </si>
  <si>
    <t>Sony</t>
  </si>
  <si>
    <t>Electronics Total Price</t>
  </si>
  <si>
    <t>19-JUL-UK</t>
  </si>
  <si>
    <t>T-shirt</t>
  </si>
  <si>
    <t>Adidas</t>
  </si>
  <si>
    <t>Product Count&lt;100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</si>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</sst>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Font="1"/>
    <xf borderId="0" fillId="0" fontId="8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horizontal="right" shrinkToFit="0" vertical="center" wrapText="0"/>
    </xf>
    <xf borderId="0" fillId="0" fontId="8" numFmtId="0" xfId="0" applyAlignment="1" applyFont="1">
      <alignment horizontal="center" shrinkToFit="0" vertical="center" wrapText="0"/>
    </xf>
    <xf borderId="1" fillId="3" fontId="7" numFmtId="0" xfId="0" applyBorder="1" applyFill="1" applyFont="1"/>
    <xf borderId="1" fillId="4" fontId="7" numFmtId="0" xfId="0" applyBorder="1" applyFill="1" applyFon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A6E3B6"/>
          <bgColor rgb="FFA6E3B6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Datas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set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Dataset-style 3">
      <tableStyleElement dxfId="1" type="headerRow"/>
      <tableStyleElement dxfId="9" type="firstRowStripe"/>
      <tableStyleElement dxfId="10" type="secondRowStripe"/>
      <tableStyleElement dxfId="1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H1:J8" displayName="Table4" name="Table4" id="1">
  <tableColumns count="3">
    <tableColumn name="Calculations using Excel Function" id="1"/>
    <tableColumn name=":" id="2"/>
    <tableColumn name="Value" id="3"/>
  </tableColumns>
  <tableStyleInfo name="Dataset-style" showColumnStripes="0" showFirstColumn="1" showLastColumn="1" showRowStripes="1"/>
</table>
</file>

<file path=xl/tables/table2.xml><?xml version="1.0" encoding="utf-8"?>
<table xmlns="http://schemas.openxmlformats.org/spreadsheetml/2006/main" ref="L1:L35" displayName="Table5" name="Table5" id="2">
  <tableColumns count="1">
    <tableColumn name="Price Range" id="1"/>
  </tableColumns>
  <tableStyleInfo name="Dataset-style 2" showColumnStripes="0" showFirstColumn="1" showLastColumn="1" showRowStripes="1"/>
</table>
</file>

<file path=xl/tables/table3.xml><?xml version="1.0" encoding="utf-8"?>
<table xmlns="http://schemas.openxmlformats.org/spreadsheetml/2006/main" ref="N1:P35" displayName="Table6" name="Table6" id="3">
  <tableColumns count="3">
    <tableColumn name="Left" id="1"/>
    <tableColumn name="Right" id="2"/>
    <tableColumn name="Mid" id="3"/>
  </tableColumns>
  <tableStyleInfo name="Datase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2" max="2" width="7.5"/>
  </cols>
  <sheetData>
    <row r="1" ht="15.75" customHeight="1">
      <c r="A1" s="1" t="s">
        <v>0</v>
      </c>
    </row>
    <row r="2" ht="15.75" customHeight="1"/>
    <row r="3" ht="15.75" customHeight="1">
      <c r="B3" s="2" t="s">
        <v>1</v>
      </c>
    </row>
    <row r="4" ht="15.75" customHeight="1">
      <c r="B4" s="2"/>
      <c r="C4" s="3" t="s">
        <v>2</v>
      </c>
    </row>
    <row r="5" ht="15.75" customHeight="1">
      <c r="B5" s="2"/>
      <c r="C5" s="3" t="s">
        <v>3</v>
      </c>
    </row>
    <row r="6" ht="15.75" customHeight="1">
      <c r="B6" s="2"/>
      <c r="C6" s="3" t="s">
        <v>4</v>
      </c>
    </row>
    <row r="7" ht="15.75" customHeight="1">
      <c r="B7" s="4"/>
    </row>
    <row r="8" ht="15.75" customHeight="1">
      <c r="B8" s="2" t="s">
        <v>5</v>
      </c>
    </row>
    <row r="9" ht="15.75" customHeight="1">
      <c r="C9" s="3" t="s">
        <v>6</v>
      </c>
    </row>
    <row r="10" ht="15.75" customHeight="1">
      <c r="C10" s="3" t="s">
        <v>7</v>
      </c>
    </row>
    <row r="11" ht="15.75" customHeight="1">
      <c r="B11" s="4"/>
    </row>
    <row r="12" ht="15.75" customHeight="1">
      <c r="B12" s="2" t="s">
        <v>8</v>
      </c>
    </row>
    <row r="13" ht="15.75" customHeight="1">
      <c r="C13" s="3" t="s">
        <v>9</v>
      </c>
    </row>
    <row r="14" ht="15.75" customHeight="1">
      <c r="B14" s="4"/>
    </row>
    <row r="15" ht="15.75" customHeight="1">
      <c r="B15" s="2" t="s">
        <v>10</v>
      </c>
    </row>
    <row r="16" ht="15.75" customHeight="1">
      <c r="C16" s="3" t="s">
        <v>11</v>
      </c>
    </row>
    <row r="17" ht="15.75" customHeight="1">
      <c r="C17" s="3" t="s">
        <v>12</v>
      </c>
    </row>
    <row r="18" ht="15.75" customHeight="1">
      <c r="B18" s="4"/>
    </row>
    <row r="19" ht="15.75" customHeight="1">
      <c r="B19" s="2" t="s">
        <v>13</v>
      </c>
    </row>
    <row r="20" ht="15.75" customHeight="1">
      <c r="C20" s="3" t="s">
        <v>14</v>
      </c>
    </row>
    <row r="21" ht="15.75" customHeight="1">
      <c r="C21" s="3" t="s">
        <v>15</v>
      </c>
    </row>
    <row r="22" ht="15.75" customHeight="1">
      <c r="C22" s="3" t="s">
        <v>16</v>
      </c>
    </row>
    <row r="23" ht="15.75" customHeight="1">
      <c r="B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4.13"/>
    <col customWidth="1" min="8" max="8" width="32.38"/>
    <col customWidth="1" min="12" max="12" width="13.0"/>
  </cols>
  <sheetData>
    <row r="1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H1" s="6" t="s">
        <v>23</v>
      </c>
      <c r="I1" s="6" t="s">
        <v>24</v>
      </c>
      <c r="J1" s="6" t="s">
        <v>25</v>
      </c>
      <c r="L1" s="7" t="s">
        <v>26</v>
      </c>
      <c r="N1" s="7" t="s">
        <v>27</v>
      </c>
      <c r="O1" s="8" t="s">
        <v>28</v>
      </c>
      <c r="P1" s="9" t="s">
        <v>29</v>
      </c>
    </row>
    <row r="2" ht="15.75" customHeight="1">
      <c r="A2" s="10" t="s">
        <v>30</v>
      </c>
      <c r="B2" s="10" t="s">
        <v>31</v>
      </c>
      <c r="C2" s="10" t="s">
        <v>32</v>
      </c>
      <c r="D2" s="10">
        <v>1000.0</v>
      </c>
      <c r="E2" s="10">
        <v>30.0</v>
      </c>
      <c r="F2" s="10" t="s">
        <v>33</v>
      </c>
      <c r="G2" s="10"/>
      <c r="H2" s="11" t="s">
        <v>34</v>
      </c>
      <c r="I2" s="11"/>
      <c r="J2" s="11">
        <f>SUM(D2:D35)</f>
        <v>10100</v>
      </c>
      <c r="L2" s="12" t="str">
        <f t="shared" ref="L2:L35" si="1">IF(D2&gt;=500,"High Price","Standard Price")</f>
        <v>High Price</v>
      </c>
      <c r="N2" s="12" t="str">
        <f t="shared" ref="N2:N35" si="2">LEFT(A2,2)</f>
        <v>28</v>
      </c>
      <c r="O2" s="13" t="str">
        <f t="shared" ref="O2:O35" si="3">RIGHT(A2,2)</f>
        <v>US</v>
      </c>
      <c r="P2" s="14" t="str">
        <f t="shared" ref="P2:P35" si="4">MID(A2,4,3)</f>
        <v>JAN</v>
      </c>
    </row>
    <row r="3" ht="15.75" customHeight="1">
      <c r="A3" s="15" t="s">
        <v>35</v>
      </c>
      <c r="B3" s="15" t="s">
        <v>36</v>
      </c>
      <c r="C3" s="15" t="s">
        <v>37</v>
      </c>
      <c r="D3" s="15">
        <v>80.0</v>
      </c>
      <c r="E3" s="15">
        <v>15.0</v>
      </c>
      <c r="F3" s="15" t="s">
        <v>38</v>
      </c>
      <c r="G3" s="10"/>
      <c r="H3" s="11" t="s">
        <v>39</v>
      </c>
      <c r="I3" s="11"/>
      <c r="J3" s="11">
        <f>COUNTA(B2:B35)</f>
        <v>34</v>
      </c>
      <c r="L3" s="12" t="str">
        <f t="shared" si="1"/>
        <v>Standard Price</v>
      </c>
      <c r="N3" s="12" t="str">
        <f t="shared" si="2"/>
        <v>15</v>
      </c>
      <c r="O3" s="13" t="str">
        <f t="shared" si="3"/>
        <v>US</v>
      </c>
      <c r="P3" s="14" t="str">
        <f t="shared" si="4"/>
        <v>FEB</v>
      </c>
    </row>
    <row r="4" ht="15.75" customHeight="1">
      <c r="A4" s="10" t="s">
        <v>40</v>
      </c>
      <c r="B4" s="10" t="s">
        <v>41</v>
      </c>
      <c r="C4" s="10" t="s">
        <v>42</v>
      </c>
      <c r="D4" s="10">
        <v>130.0</v>
      </c>
      <c r="E4" s="10">
        <v>40.0</v>
      </c>
      <c r="F4" s="10" t="s">
        <v>43</v>
      </c>
      <c r="G4" s="10"/>
      <c r="H4" s="11" t="s">
        <v>44</v>
      </c>
      <c r="I4" s="11"/>
      <c r="J4" s="11">
        <f>AVERAGE(D2:D35)</f>
        <v>297.0588235</v>
      </c>
      <c r="L4" s="12" t="str">
        <f t="shared" si="1"/>
        <v>Standard Price</v>
      </c>
      <c r="N4" s="12" t="str">
        <f t="shared" si="2"/>
        <v>03</v>
      </c>
      <c r="O4" s="13" t="str">
        <f t="shared" si="3"/>
        <v>US</v>
      </c>
      <c r="P4" s="14" t="str">
        <f t="shared" si="4"/>
        <v>MAR</v>
      </c>
    </row>
    <row r="5" ht="15.75" customHeight="1">
      <c r="A5" s="15" t="s">
        <v>45</v>
      </c>
      <c r="B5" s="15" t="s">
        <v>46</v>
      </c>
      <c r="C5" s="15" t="s">
        <v>47</v>
      </c>
      <c r="D5" s="15">
        <v>900.0</v>
      </c>
      <c r="E5" s="15">
        <v>25.0</v>
      </c>
      <c r="F5" s="15" t="s">
        <v>33</v>
      </c>
      <c r="G5" s="10"/>
      <c r="H5" s="11" t="s">
        <v>48</v>
      </c>
      <c r="I5" s="11"/>
      <c r="J5" s="11">
        <f>MIN(D2:D35)</f>
        <v>30</v>
      </c>
      <c r="L5" s="12" t="str">
        <f t="shared" si="1"/>
        <v>High Price</v>
      </c>
      <c r="N5" s="12" t="str">
        <f t="shared" si="2"/>
        <v>11</v>
      </c>
      <c r="O5" s="13" t="str">
        <f t="shared" si="3"/>
        <v>US</v>
      </c>
      <c r="P5" s="14" t="str">
        <f t="shared" si="4"/>
        <v>APR</v>
      </c>
    </row>
    <row r="6" ht="15.75" customHeight="1">
      <c r="A6" s="10" t="s">
        <v>49</v>
      </c>
      <c r="B6" s="10" t="s">
        <v>50</v>
      </c>
      <c r="C6" s="10" t="s">
        <v>51</v>
      </c>
      <c r="D6" s="10">
        <v>70.0</v>
      </c>
      <c r="E6" s="10">
        <v>20.0</v>
      </c>
      <c r="F6" s="10" t="s">
        <v>52</v>
      </c>
      <c r="G6" s="10"/>
      <c r="H6" s="11" t="s">
        <v>53</v>
      </c>
      <c r="I6" s="11"/>
      <c r="J6" s="11">
        <f>MAX(D2:D35)</f>
        <v>1000</v>
      </c>
      <c r="L6" s="12" t="str">
        <f t="shared" si="1"/>
        <v>Standard Price</v>
      </c>
      <c r="N6" s="12" t="str">
        <f t="shared" si="2"/>
        <v>22</v>
      </c>
      <c r="O6" s="13" t="str">
        <f t="shared" si="3"/>
        <v>US</v>
      </c>
      <c r="P6" s="14" t="str">
        <f t="shared" si="4"/>
        <v>MAY</v>
      </c>
    </row>
    <row r="7" ht="15.75" customHeight="1">
      <c r="A7" s="15" t="s">
        <v>54</v>
      </c>
      <c r="B7" s="15" t="s">
        <v>55</v>
      </c>
      <c r="C7" s="15" t="s">
        <v>56</v>
      </c>
      <c r="D7" s="15">
        <v>200.0</v>
      </c>
      <c r="E7" s="15">
        <v>45.0</v>
      </c>
      <c r="F7" s="15" t="s">
        <v>33</v>
      </c>
      <c r="G7" s="10"/>
      <c r="H7" s="11" t="s">
        <v>57</v>
      </c>
      <c r="I7" s="11"/>
      <c r="J7" s="11">
        <f>SUMIF(F2:F35,"Electronics",D2:D35)</f>
        <v>8050</v>
      </c>
      <c r="L7" s="12" t="str">
        <f t="shared" si="1"/>
        <v>Standard Price</v>
      </c>
      <c r="N7" s="12" t="str">
        <f t="shared" si="2"/>
        <v>07</v>
      </c>
      <c r="O7" s="13" t="str">
        <f t="shared" si="3"/>
        <v>UK</v>
      </c>
      <c r="P7" s="14" t="str">
        <f t="shared" si="4"/>
        <v>JUN</v>
      </c>
    </row>
    <row r="8" ht="15.75" customHeight="1">
      <c r="A8" s="10" t="s">
        <v>58</v>
      </c>
      <c r="B8" s="10" t="s">
        <v>59</v>
      </c>
      <c r="C8" s="10" t="s">
        <v>60</v>
      </c>
      <c r="D8" s="10">
        <v>30.0</v>
      </c>
      <c r="E8" s="10">
        <v>5.0</v>
      </c>
      <c r="F8" s="10" t="s">
        <v>38</v>
      </c>
      <c r="G8" s="10"/>
      <c r="H8" s="11" t="s">
        <v>61</v>
      </c>
      <c r="I8" s="11"/>
      <c r="J8" s="11">
        <f>COUNTIF(D2:D35,"&lt;100")</f>
        <v>11</v>
      </c>
      <c r="L8" s="12" t="str">
        <f t="shared" si="1"/>
        <v>Standard Price</v>
      </c>
      <c r="N8" s="12" t="str">
        <f t="shared" si="2"/>
        <v>19</v>
      </c>
      <c r="O8" s="13" t="str">
        <f t="shared" si="3"/>
        <v>UK</v>
      </c>
      <c r="P8" s="14" t="str">
        <f t="shared" si="4"/>
        <v>JUL</v>
      </c>
    </row>
    <row r="9" ht="15.75" customHeight="1">
      <c r="A9" s="15" t="s">
        <v>62</v>
      </c>
      <c r="B9" s="15" t="s">
        <v>63</v>
      </c>
      <c r="C9" s="15" t="s">
        <v>64</v>
      </c>
      <c r="D9" s="15">
        <v>90.0</v>
      </c>
      <c r="E9" s="15">
        <v>35.0</v>
      </c>
      <c r="F9" s="15" t="s">
        <v>43</v>
      </c>
      <c r="G9" s="10"/>
      <c r="L9" s="12" t="str">
        <f t="shared" si="1"/>
        <v>Standard Price</v>
      </c>
      <c r="N9" s="12" t="str">
        <f t="shared" si="2"/>
        <v>23</v>
      </c>
      <c r="O9" s="13" t="str">
        <f t="shared" si="3"/>
        <v>UK</v>
      </c>
      <c r="P9" s="14" t="str">
        <f t="shared" si="4"/>
        <v>AUG</v>
      </c>
    </row>
    <row r="10" ht="15.75" customHeight="1">
      <c r="A10" s="10" t="s">
        <v>65</v>
      </c>
      <c r="B10" s="10" t="s">
        <v>66</v>
      </c>
      <c r="C10" s="10" t="s">
        <v>67</v>
      </c>
      <c r="D10" s="10">
        <v>500.0</v>
      </c>
      <c r="E10" s="10">
        <v>50.0</v>
      </c>
      <c r="F10" s="10" t="s">
        <v>33</v>
      </c>
      <c r="G10" s="10"/>
      <c r="L10" s="12" t="str">
        <f t="shared" si="1"/>
        <v>High Price</v>
      </c>
      <c r="N10" s="12" t="str">
        <f t="shared" si="2"/>
        <v>05</v>
      </c>
      <c r="O10" s="13" t="str">
        <f t="shared" si="3"/>
        <v>UK</v>
      </c>
      <c r="P10" s="14" t="str">
        <f t="shared" si="4"/>
        <v>SEP</v>
      </c>
    </row>
    <row r="11" ht="15.75" customHeight="1">
      <c r="A11" s="15" t="s">
        <v>68</v>
      </c>
      <c r="B11" s="15" t="s">
        <v>69</v>
      </c>
      <c r="C11" s="15" t="s">
        <v>70</v>
      </c>
      <c r="D11" s="15">
        <v>130.0</v>
      </c>
      <c r="E11" s="15">
        <v>10.0</v>
      </c>
      <c r="F11" s="15" t="s">
        <v>52</v>
      </c>
      <c r="G11" s="10"/>
      <c r="L11" s="12" t="str">
        <f t="shared" si="1"/>
        <v>Standard Price</v>
      </c>
      <c r="N11" s="12" t="str">
        <f t="shared" si="2"/>
        <v>14</v>
      </c>
      <c r="O11" s="13" t="str">
        <f t="shared" si="3"/>
        <v>UK</v>
      </c>
      <c r="P11" s="14" t="str">
        <f t="shared" si="4"/>
        <v>OCT</v>
      </c>
    </row>
    <row r="12" ht="15.75" customHeight="1">
      <c r="A12" s="10" t="s">
        <v>71</v>
      </c>
      <c r="B12" s="10" t="s">
        <v>31</v>
      </c>
      <c r="C12" s="10" t="s">
        <v>72</v>
      </c>
      <c r="D12" s="10">
        <v>950.0</v>
      </c>
      <c r="E12" s="10">
        <v>25.0</v>
      </c>
      <c r="F12" s="10" t="s">
        <v>33</v>
      </c>
      <c r="G12" s="10"/>
      <c r="L12" s="12" t="str">
        <f t="shared" si="1"/>
        <v>High Price</v>
      </c>
      <c r="N12" s="12" t="str">
        <f t="shared" si="2"/>
        <v>17</v>
      </c>
      <c r="O12" s="13" t="str">
        <f t="shared" si="3"/>
        <v>IN</v>
      </c>
      <c r="P12" s="14" t="str">
        <f t="shared" si="4"/>
        <v>JUN</v>
      </c>
    </row>
    <row r="13" ht="15.75" customHeight="1">
      <c r="A13" s="15" t="s">
        <v>73</v>
      </c>
      <c r="B13" s="15" t="s">
        <v>36</v>
      </c>
      <c r="C13" s="15" t="s">
        <v>60</v>
      </c>
      <c r="D13" s="15">
        <v>90.0</v>
      </c>
      <c r="E13" s="15">
        <v>40.0</v>
      </c>
      <c r="F13" s="15" t="s">
        <v>38</v>
      </c>
      <c r="G13" s="10"/>
      <c r="L13" s="12" t="str">
        <f t="shared" si="1"/>
        <v>Standard Price</v>
      </c>
      <c r="N13" s="12" t="str">
        <f t="shared" si="2"/>
        <v>25</v>
      </c>
      <c r="O13" s="13" t="str">
        <f t="shared" si="3"/>
        <v>AU</v>
      </c>
      <c r="P13" s="14" t="str">
        <f t="shared" si="4"/>
        <v>NOV</v>
      </c>
    </row>
    <row r="14" ht="15.75" customHeight="1">
      <c r="A14" s="10" t="s">
        <v>74</v>
      </c>
      <c r="B14" s="10" t="s">
        <v>41</v>
      </c>
      <c r="C14" s="10" t="s">
        <v>75</v>
      </c>
      <c r="D14" s="10">
        <v>120.0</v>
      </c>
      <c r="E14" s="10">
        <v>35.0</v>
      </c>
      <c r="F14" s="10" t="s">
        <v>43</v>
      </c>
      <c r="G14" s="10"/>
      <c r="L14" s="12" t="str">
        <f t="shared" si="1"/>
        <v>Standard Price</v>
      </c>
      <c r="N14" s="12" t="str">
        <f t="shared" si="2"/>
        <v>08</v>
      </c>
      <c r="O14" s="13" t="str">
        <f t="shared" si="3"/>
        <v>DE</v>
      </c>
      <c r="P14" s="14" t="str">
        <f t="shared" si="4"/>
        <v>DEC</v>
      </c>
    </row>
    <row r="15" ht="15.75" customHeight="1">
      <c r="A15" s="15" t="s">
        <v>76</v>
      </c>
      <c r="B15" s="15" t="s">
        <v>77</v>
      </c>
      <c r="C15" s="15" t="s">
        <v>78</v>
      </c>
      <c r="D15" s="15">
        <v>150.0</v>
      </c>
      <c r="E15" s="15">
        <v>15.0</v>
      </c>
      <c r="F15" s="15" t="s">
        <v>33</v>
      </c>
      <c r="G15" s="10"/>
      <c r="L15" s="12" t="str">
        <f t="shared" si="1"/>
        <v>Standard Price</v>
      </c>
      <c r="N15" s="12" t="str">
        <f t="shared" si="2"/>
        <v>18</v>
      </c>
      <c r="O15" s="13" t="str">
        <f t="shared" si="3"/>
        <v>CA</v>
      </c>
      <c r="P15" s="14" t="str">
        <f t="shared" si="4"/>
        <v>FEB</v>
      </c>
    </row>
    <row r="16" ht="15.75" customHeight="1">
      <c r="A16" s="10" t="s">
        <v>79</v>
      </c>
      <c r="B16" s="10" t="s">
        <v>55</v>
      </c>
      <c r="C16" s="10" t="s">
        <v>80</v>
      </c>
      <c r="D16" s="10">
        <v>250.0</v>
      </c>
      <c r="E16" s="10">
        <v>20.0</v>
      </c>
      <c r="F16" s="10" t="s">
        <v>33</v>
      </c>
      <c r="G16" s="10"/>
      <c r="L16" s="12" t="str">
        <f t="shared" si="1"/>
        <v>Standard Price</v>
      </c>
      <c r="N16" s="12" t="str">
        <f t="shared" si="2"/>
        <v>16</v>
      </c>
      <c r="O16" s="13" t="str">
        <f t="shared" si="3"/>
        <v>ES</v>
      </c>
      <c r="P16" s="14" t="str">
        <f t="shared" si="4"/>
        <v>APR</v>
      </c>
    </row>
    <row r="17" ht="15.75" customHeight="1">
      <c r="A17" s="15" t="s">
        <v>81</v>
      </c>
      <c r="B17" s="15" t="s">
        <v>82</v>
      </c>
      <c r="C17" s="15" t="s">
        <v>83</v>
      </c>
      <c r="D17" s="15">
        <v>50.0</v>
      </c>
      <c r="E17" s="15">
        <v>35.0</v>
      </c>
      <c r="F17" s="15" t="s">
        <v>84</v>
      </c>
      <c r="G17" s="10"/>
      <c r="L17" s="12" t="str">
        <f t="shared" si="1"/>
        <v>Standard Price</v>
      </c>
      <c r="N17" s="12" t="str">
        <f t="shared" si="2"/>
        <v>21</v>
      </c>
      <c r="O17" s="13" t="str">
        <f t="shared" si="3"/>
        <v>CA</v>
      </c>
      <c r="P17" s="14" t="str">
        <f t="shared" si="4"/>
        <v>AUG</v>
      </c>
    </row>
    <row r="18" ht="15.75" customHeight="1">
      <c r="A18" s="10" t="s">
        <v>85</v>
      </c>
      <c r="B18" s="10" t="s">
        <v>77</v>
      </c>
      <c r="C18" s="10" t="s">
        <v>86</v>
      </c>
      <c r="D18" s="10">
        <v>160.0</v>
      </c>
      <c r="E18" s="10">
        <v>15.0</v>
      </c>
      <c r="F18" s="10" t="s">
        <v>33</v>
      </c>
      <c r="G18" s="10"/>
      <c r="L18" s="12" t="str">
        <f t="shared" si="1"/>
        <v>Standard Price</v>
      </c>
      <c r="N18" s="12" t="str">
        <f t="shared" si="2"/>
        <v>20</v>
      </c>
      <c r="O18" s="13" t="str">
        <f t="shared" si="3"/>
        <v>CN</v>
      </c>
      <c r="P18" s="14" t="str">
        <f t="shared" si="4"/>
        <v>AUG</v>
      </c>
    </row>
    <row r="19" ht="15.75" customHeight="1">
      <c r="A19" s="15" t="s">
        <v>87</v>
      </c>
      <c r="B19" s="15" t="s">
        <v>31</v>
      </c>
      <c r="C19" s="15" t="s">
        <v>88</v>
      </c>
      <c r="D19" s="15">
        <v>980.0</v>
      </c>
      <c r="E19" s="15">
        <v>10.0</v>
      </c>
      <c r="F19" s="15" t="s">
        <v>33</v>
      </c>
      <c r="G19" s="10"/>
      <c r="L19" s="12" t="str">
        <f t="shared" si="1"/>
        <v>High Price</v>
      </c>
      <c r="N19" s="12" t="str">
        <f t="shared" si="2"/>
        <v>27</v>
      </c>
      <c r="O19" s="13" t="str">
        <f t="shared" si="3"/>
        <v>IT</v>
      </c>
      <c r="P19" s="14" t="str">
        <f t="shared" si="4"/>
        <v>JAN</v>
      </c>
    </row>
    <row r="20" ht="15.75" customHeight="1">
      <c r="A20" s="10" t="s">
        <v>89</v>
      </c>
      <c r="B20" s="10" t="s">
        <v>90</v>
      </c>
      <c r="C20" s="10" t="s">
        <v>91</v>
      </c>
      <c r="D20" s="10">
        <v>150.0</v>
      </c>
      <c r="E20" s="10">
        <v>15.0</v>
      </c>
      <c r="F20" s="10" t="s">
        <v>38</v>
      </c>
      <c r="G20" s="10"/>
      <c r="L20" s="12" t="str">
        <f t="shared" si="1"/>
        <v>Standard Price</v>
      </c>
      <c r="N20" s="12" t="str">
        <f t="shared" si="2"/>
        <v>01</v>
      </c>
      <c r="O20" s="13" t="str">
        <f t="shared" si="3"/>
        <v>UK</v>
      </c>
      <c r="P20" s="14" t="str">
        <f t="shared" si="4"/>
        <v>MAR</v>
      </c>
    </row>
    <row r="21" ht="15.75" customHeight="1">
      <c r="A21" s="15" t="s">
        <v>92</v>
      </c>
      <c r="B21" s="15" t="s">
        <v>93</v>
      </c>
      <c r="C21" s="15" t="s">
        <v>94</v>
      </c>
      <c r="D21" s="15">
        <v>200.0</v>
      </c>
      <c r="E21" s="15">
        <v>10.0</v>
      </c>
      <c r="F21" s="15" t="s">
        <v>52</v>
      </c>
      <c r="G21" s="10"/>
      <c r="L21" s="12" t="str">
        <f t="shared" si="1"/>
        <v>Standard Price</v>
      </c>
      <c r="N21" s="12" t="str">
        <f t="shared" si="2"/>
        <v>14</v>
      </c>
      <c r="O21" s="13" t="str">
        <f t="shared" si="3"/>
        <v>US</v>
      </c>
      <c r="P21" s="14" t="str">
        <f t="shared" si="4"/>
        <v>AUG</v>
      </c>
    </row>
    <row r="22" ht="15.75" customHeight="1">
      <c r="A22" s="10" t="s">
        <v>95</v>
      </c>
      <c r="B22" s="10" t="s">
        <v>96</v>
      </c>
      <c r="C22" s="10" t="s">
        <v>97</v>
      </c>
      <c r="D22" s="10">
        <v>700.0</v>
      </c>
      <c r="E22" s="10">
        <v>50.0</v>
      </c>
      <c r="F22" s="10" t="s">
        <v>33</v>
      </c>
      <c r="G22" s="10"/>
      <c r="L22" s="12" t="str">
        <f t="shared" si="1"/>
        <v>High Price</v>
      </c>
      <c r="N22" s="12" t="str">
        <f t="shared" si="2"/>
        <v>14</v>
      </c>
      <c r="O22" s="13" t="str">
        <f t="shared" si="3"/>
        <v>RU</v>
      </c>
      <c r="P22" s="14" t="str">
        <f t="shared" si="4"/>
        <v>MAY</v>
      </c>
    </row>
    <row r="23" ht="15.75" customHeight="1">
      <c r="A23" s="15" t="s">
        <v>98</v>
      </c>
      <c r="B23" s="15" t="s">
        <v>99</v>
      </c>
      <c r="C23" s="15" t="s">
        <v>100</v>
      </c>
      <c r="D23" s="15">
        <v>80.0</v>
      </c>
      <c r="E23" s="15">
        <v>20.0</v>
      </c>
      <c r="F23" s="15" t="s">
        <v>43</v>
      </c>
      <c r="G23" s="10"/>
      <c r="L23" s="12" t="str">
        <f t="shared" si="1"/>
        <v>Standard Price</v>
      </c>
      <c r="N23" s="12" t="str">
        <f t="shared" si="2"/>
        <v>09</v>
      </c>
      <c r="O23" s="13" t="str">
        <f t="shared" si="3"/>
        <v>CA</v>
      </c>
      <c r="P23" s="14" t="str">
        <f t="shared" si="4"/>
        <v>JAN</v>
      </c>
    </row>
    <row r="24" ht="15.75" customHeight="1">
      <c r="A24" s="10" t="s">
        <v>101</v>
      </c>
      <c r="B24" s="10" t="s">
        <v>102</v>
      </c>
      <c r="C24" s="10" t="s">
        <v>103</v>
      </c>
      <c r="D24" s="10">
        <v>150.0</v>
      </c>
      <c r="E24" s="10">
        <v>30.0</v>
      </c>
      <c r="F24" s="10" t="s">
        <v>33</v>
      </c>
      <c r="G24" s="10"/>
      <c r="L24" s="12" t="str">
        <f t="shared" si="1"/>
        <v>Standard Price</v>
      </c>
      <c r="N24" s="12" t="str">
        <f t="shared" si="2"/>
        <v>19</v>
      </c>
      <c r="O24" s="13" t="str">
        <f t="shared" si="3"/>
        <v>BR</v>
      </c>
      <c r="P24" s="14" t="str">
        <f t="shared" si="4"/>
        <v>JUL</v>
      </c>
    </row>
    <row r="25" ht="15.75" customHeight="1">
      <c r="A25" s="15" t="s">
        <v>81</v>
      </c>
      <c r="B25" s="15" t="s">
        <v>82</v>
      </c>
      <c r="C25" s="15" t="s">
        <v>83</v>
      </c>
      <c r="D25" s="15">
        <v>50.0</v>
      </c>
      <c r="E25" s="15">
        <v>35.0</v>
      </c>
      <c r="F25" s="15" t="s">
        <v>84</v>
      </c>
      <c r="G25" s="16"/>
      <c r="L25" s="12" t="str">
        <f t="shared" si="1"/>
        <v>Standard Price</v>
      </c>
      <c r="N25" s="12" t="str">
        <f t="shared" si="2"/>
        <v>21</v>
      </c>
      <c r="O25" s="13" t="str">
        <f t="shared" si="3"/>
        <v>CA</v>
      </c>
      <c r="P25" s="14" t="str">
        <f t="shared" si="4"/>
        <v>AUG</v>
      </c>
    </row>
    <row r="26" ht="15.75" customHeight="1">
      <c r="A26" s="10" t="s">
        <v>104</v>
      </c>
      <c r="B26" s="10" t="s">
        <v>46</v>
      </c>
      <c r="C26" s="10" t="s">
        <v>105</v>
      </c>
      <c r="D26" s="10">
        <v>800.0</v>
      </c>
      <c r="E26" s="10">
        <v>45.0</v>
      </c>
      <c r="F26" s="10" t="s">
        <v>33</v>
      </c>
      <c r="G26" s="10"/>
      <c r="L26" s="12" t="str">
        <f t="shared" si="1"/>
        <v>High Price</v>
      </c>
      <c r="N26" s="12" t="str">
        <f t="shared" si="2"/>
        <v>29</v>
      </c>
      <c r="O26" s="13" t="str">
        <f t="shared" si="3"/>
        <v>CA</v>
      </c>
      <c r="P26" s="14" t="str">
        <f t="shared" si="4"/>
        <v>SEP</v>
      </c>
    </row>
    <row r="27" ht="15.75" customHeight="1">
      <c r="A27" s="15" t="s">
        <v>106</v>
      </c>
      <c r="B27" s="15" t="s">
        <v>90</v>
      </c>
      <c r="C27" s="15" t="s">
        <v>107</v>
      </c>
      <c r="D27" s="15">
        <v>130.0</v>
      </c>
      <c r="E27" s="15">
        <v>25.0</v>
      </c>
      <c r="F27" s="15" t="s">
        <v>38</v>
      </c>
      <c r="G27" s="10"/>
      <c r="L27" s="12" t="str">
        <f t="shared" si="1"/>
        <v>Standard Price</v>
      </c>
      <c r="N27" s="12" t="str">
        <f t="shared" si="2"/>
        <v>03</v>
      </c>
      <c r="O27" s="13" t="str">
        <f t="shared" si="3"/>
        <v>CA</v>
      </c>
      <c r="P27" s="14" t="str">
        <f t="shared" si="4"/>
        <v>JUN</v>
      </c>
    </row>
    <row r="28" ht="15.75" customHeight="1">
      <c r="A28" s="10" t="s">
        <v>108</v>
      </c>
      <c r="B28" s="10" t="s">
        <v>63</v>
      </c>
      <c r="C28" s="10" t="s">
        <v>109</v>
      </c>
      <c r="D28" s="10">
        <v>400.0</v>
      </c>
      <c r="E28" s="10">
        <v>40.0</v>
      </c>
      <c r="F28" s="10" t="s">
        <v>43</v>
      </c>
      <c r="G28" s="10"/>
      <c r="L28" s="12" t="str">
        <f t="shared" si="1"/>
        <v>Standard Price</v>
      </c>
      <c r="N28" s="12" t="str">
        <f t="shared" si="2"/>
        <v>11</v>
      </c>
      <c r="O28" s="13" t="str">
        <f t="shared" si="3"/>
        <v>CA</v>
      </c>
      <c r="P28" s="14" t="str">
        <f t="shared" si="4"/>
        <v>JUL</v>
      </c>
    </row>
    <row r="29" ht="15.75" customHeight="1">
      <c r="A29" s="15" t="s">
        <v>79</v>
      </c>
      <c r="B29" s="15" t="s">
        <v>55</v>
      </c>
      <c r="C29" s="15" t="s">
        <v>80</v>
      </c>
      <c r="D29" s="15">
        <v>230.0</v>
      </c>
      <c r="E29" s="15">
        <v>20.0</v>
      </c>
      <c r="F29" s="15" t="s">
        <v>33</v>
      </c>
      <c r="G29" s="16"/>
      <c r="L29" s="12" t="str">
        <f t="shared" si="1"/>
        <v>Standard Price</v>
      </c>
      <c r="N29" s="12" t="str">
        <f t="shared" si="2"/>
        <v>16</v>
      </c>
      <c r="O29" s="13" t="str">
        <f t="shared" si="3"/>
        <v>ES</v>
      </c>
      <c r="P29" s="14" t="str">
        <f t="shared" si="4"/>
        <v>APR</v>
      </c>
    </row>
    <row r="30" ht="15.75" customHeight="1">
      <c r="A30" s="10" t="s">
        <v>110</v>
      </c>
      <c r="B30" s="10" t="s">
        <v>111</v>
      </c>
      <c r="C30" s="10" t="s">
        <v>112</v>
      </c>
      <c r="D30" s="10">
        <v>60.0</v>
      </c>
      <c r="E30" s="10">
        <v>30.0</v>
      </c>
      <c r="F30" s="10" t="s">
        <v>38</v>
      </c>
      <c r="G30" s="10"/>
      <c r="L30" s="12" t="str">
        <f t="shared" si="1"/>
        <v>Standard Price</v>
      </c>
      <c r="N30" s="12" t="str">
        <f t="shared" si="2"/>
        <v>07</v>
      </c>
      <c r="O30" s="13" t="str">
        <f t="shared" si="3"/>
        <v>CA</v>
      </c>
      <c r="P30" s="14" t="str">
        <f t="shared" si="4"/>
        <v>MAR</v>
      </c>
    </row>
    <row r="31" ht="15.75" customHeight="1">
      <c r="A31" s="15" t="s">
        <v>113</v>
      </c>
      <c r="B31" s="15" t="s">
        <v>114</v>
      </c>
      <c r="C31" s="15" t="s">
        <v>115</v>
      </c>
      <c r="D31" s="15">
        <v>40.0</v>
      </c>
      <c r="E31" s="15">
        <v>10.0</v>
      </c>
      <c r="F31" s="15" t="s">
        <v>43</v>
      </c>
      <c r="G31" s="10"/>
      <c r="L31" s="12" t="str">
        <f t="shared" si="1"/>
        <v>Standard Price</v>
      </c>
      <c r="N31" s="12" t="str">
        <f t="shared" si="2"/>
        <v>13</v>
      </c>
      <c r="O31" s="13" t="str">
        <f t="shared" si="3"/>
        <v>CA</v>
      </c>
      <c r="P31" s="14" t="str">
        <f t="shared" si="4"/>
        <v>APR</v>
      </c>
    </row>
    <row r="32" ht="15.75" customHeight="1">
      <c r="A32" s="10" t="s">
        <v>116</v>
      </c>
      <c r="B32" s="10" t="s">
        <v>102</v>
      </c>
      <c r="C32" s="10" t="s">
        <v>117</v>
      </c>
      <c r="D32" s="10">
        <v>130.0</v>
      </c>
      <c r="E32" s="10">
        <v>5.0</v>
      </c>
      <c r="F32" s="10" t="s">
        <v>33</v>
      </c>
      <c r="G32" s="10"/>
      <c r="L32" s="12" t="str">
        <f t="shared" si="1"/>
        <v>Standard Price</v>
      </c>
      <c r="N32" s="12" t="str">
        <f t="shared" si="2"/>
        <v>24</v>
      </c>
      <c r="O32" s="13" t="str">
        <f t="shared" si="3"/>
        <v>CA</v>
      </c>
      <c r="P32" s="14" t="str">
        <f t="shared" si="4"/>
        <v>MAY</v>
      </c>
    </row>
    <row r="33" ht="15.75" customHeight="1">
      <c r="A33" s="15" t="s">
        <v>118</v>
      </c>
      <c r="B33" s="15" t="s">
        <v>119</v>
      </c>
      <c r="C33" s="15" t="s">
        <v>120</v>
      </c>
      <c r="D33" s="15">
        <v>50.0</v>
      </c>
      <c r="E33" s="15">
        <v>50.0</v>
      </c>
      <c r="F33" s="15" t="s">
        <v>38</v>
      </c>
      <c r="G33" s="10"/>
      <c r="L33" s="12" t="str">
        <f t="shared" si="1"/>
        <v>Standard Price</v>
      </c>
      <c r="N33" s="12" t="str">
        <f t="shared" si="2"/>
        <v>02</v>
      </c>
      <c r="O33" s="13" t="str">
        <f t="shared" si="3"/>
        <v>CA</v>
      </c>
      <c r="P33" s="14" t="str">
        <f t="shared" si="4"/>
        <v>DEC</v>
      </c>
    </row>
    <row r="34" ht="15.75" customHeight="1">
      <c r="A34" s="10" t="s">
        <v>71</v>
      </c>
      <c r="B34" s="10" t="s">
        <v>31</v>
      </c>
      <c r="C34" s="10" t="s">
        <v>72</v>
      </c>
      <c r="D34" s="10">
        <v>950.0</v>
      </c>
      <c r="E34" s="10">
        <v>25.0</v>
      </c>
      <c r="F34" s="10" t="s">
        <v>33</v>
      </c>
      <c r="G34" s="10"/>
      <c r="L34" s="12" t="str">
        <f t="shared" si="1"/>
        <v>High Price</v>
      </c>
      <c r="N34" s="12" t="str">
        <f t="shared" si="2"/>
        <v>17</v>
      </c>
      <c r="O34" s="13" t="str">
        <f t="shared" si="3"/>
        <v>IN</v>
      </c>
      <c r="P34" s="14" t="str">
        <f t="shared" si="4"/>
        <v>JUN</v>
      </c>
    </row>
    <row r="35" ht="15.75" customHeight="1">
      <c r="A35" s="15" t="s">
        <v>121</v>
      </c>
      <c r="B35" s="15" t="s">
        <v>122</v>
      </c>
      <c r="C35" s="15" t="s">
        <v>123</v>
      </c>
      <c r="D35" s="15">
        <v>100.0</v>
      </c>
      <c r="E35" s="15">
        <v>20.0</v>
      </c>
      <c r="F35" s="15" t="s">
        <v>84</v>
      </c>
      <c r="G35" s="10"/>
      <c r="L35" s="12" t="str">
        <f t="shared" si="1"/>
        <v>Standard Price</v>
      </c>
      <c r="N35" s="12" t="str">
        <f t="shared" si="2"/>
        <v>09</v>
      </c>
      <c r="O35" s="13" t="str">
        <f t="shared" si="3"/>
        <v>FR</v>
      </c>
      <c r="P35" s="14" t="str">
        <f t="shared" si="4"/>
        <v>JUL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5"/>
  <customSheetViews>
    <customSheetView guid="{849B7800-9D97-41AB-A0B3-F4EBDEA5DAE0}" filter="1" showAutoFilter="1">
      <autoFilter ref="$N$1:$P$35"/>
      <extLst>
        <ext uri="GoogleSheetsCustomDataVersion1">
          <go:sheetsCustomData xmlns:go="http://customooxmlschemas.google.com/" filterViewId="1098793280"/>
        </ext>
      </extLst>
    </customSheetView>
    <customSheetView guid="{DA1D20F5-CD82-4B8E-BB1A-FCD94967F943}" filter="1" showAutoFilter="1">
      <autoFilter ref="$H$1:$J$8"/>
      <extLst>
        <ext uri="GoogleSheetsCustomDataVersion1">
          <go:sheetsCustomData xmlns:go="http://customooxmlschemas.google.com/" filterViewId="189517285"/>
        </ext>
      </extLst>
    </customSheetView>
    <customSheetView guid="{6EE02916-723F-431D-B2E3-1FB932CD2FC8}" filter="1" showAutoFilter="1">
      <autoFilter ref="$L$1:$L$35"/>
      <extLst>
        <ext uri="GoogleSheetsCustomDataVersion1">
          <go:sheetsCustomData xmlns:go="http://customooxmlschemas.google.com/" filterViewId="2099423164"/>
        </ext>
      </extLst>
    </customSheetView>
  </customSheetView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2025-11-29T09:58:14Z</dcterms:created>
  <dc:creator>SAI AARUDH</dc:creator>
</cp:coreProperties>
</file>