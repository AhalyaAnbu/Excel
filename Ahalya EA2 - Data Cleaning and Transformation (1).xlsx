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</sheets>
  <definedNames/>
  <calcPr/>
  <extLst>
    <ext uri="GoogleSheetsCustomDataVersion2">
      <go:sheetsCustomData xmlns:go="http://customooxmlschemas.google.com/" r:id="rId6" roundtripDataChecksum="JgVHCQKfYpWq4zaNqzVfHDRo/iQNU0zC6N6Kju74Qeo="/>
    </ext>
  </extLst>
</workbook>
</file>

<file path=xl/sharedStrings.xml><?xml version="1.0" encoding="utf-8"?>
<sst xmlns="http://schemas.openxmlformats.org/spreadsheetml/2006/main" count="424" uniqueCount="136">
  <si>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</si>
  <si>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</si>
  <si>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</si>
  <si>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</si>
  <si>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</si>
  <si>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</si>
  <si>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</si>
  <si>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</si>
  <si>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</si>
  <si>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</si>
  <si>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</si>
  <si>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</si>
  <si>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</si>
  <si>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</si>
  <si>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</si>
  <si>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</si>
  <si>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</si>
  <si>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</si>
  <si>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</si>
  <si>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</si>
  <si>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</si>
  <si>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</si>
  <si>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</si>
  <si>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</si>
  <si>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</si>
  <si>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1.Handling Missing Values(Imputation)                    (Price &amp; Products)</t>
  </si>
  <si>
    <t>2.Correcting inconsistent data (Product name &amp; Category)</t>
  </si>
  <si>
    <t>3.Removing Duplicates</t>
  </si>
  <si>
    <t>4.Splitting  Data  (Manufacturing Date &amp; Country code)</t>
  </si>
  <si>
    <t>Merging data         (Product Brand)</t>
  </si>
  <si>
    <t>5.Number Formatting                (Price &amp; Manufacturing date)</t>
  </si>
  <si>
    <t>6.Conditional Formatting                  (Price &amp; Category)</t>
  </si>
  <si>
    <t>28-JAN-US</t>
  </si>
  <si>
    <t>laptop</t>
  </si>
  <si>
    <t>Dell</t>
  </si>
  <si>
    <t>Electronics</t>
  </si>
  <si>
    <t>Laptop</t>
  </si>
  <si>
    <t>US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</si>
  <si>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</si>
  <si>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</si>
  <si>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</si>
  <si>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</si>
  <si>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</si>
  <si>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</si>
  <si>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</si>
  <si>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</si>
  <si>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</si>
  <si>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</si>
  <si>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</si>
  <si>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Smartphone</t>
  </si>
  <si>
    <t>22-MAY-US</t>
  </si>
  <si>
    <t>Backpack</t>
  </si>
  <si>
    <t>North Face</t>
  </si>
  <si>
    <t>Unknown</t>
  </si>
  <si>
    <t>07-JUN-UK</t>
  </si>
  <si>
    <t>Headphones</t>
  </si>
  <si>
    <t>Sony</t>
  </si>
  <si>
    <t>Electroni</t>
  </si>
  <si>
    <t>UK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</si>
  <si>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</si>
  <si>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</si>
  <si>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</si>
  <si>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</si>
  <si>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</si>
  <si>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</si>
  <si>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</si>
  <si>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</si>
  <si>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</si>
  <si>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</si>
  <si>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</si>
  <si>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</si>
  <si>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</si>
  <si>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</si>
  <si>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</si>
  <si>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IN</t>
  </si>
  <si>
    <t>25-NOV-AU</t>
  </si>
  <si>
    <t>AU</t>
  </si>
  <si>
    <t>08-DEC-DE</t>
  </si>
  <si>
    <t>Nespresso</t>
  </si>
  <si>
    <t>DE</t>
  </si>
  <si>
    <t>18-FEB-CA</t>
  </si>
  <si>
    <t>Smartwatch</t>
  </si>
  <si>
    <t>Fitbit</t>
  </si>
  <si>
    <t>CA</t>
  </si>
  <si>
    <t>16-APR-ES</t>
  </si>
  <si>
    <t>headphones</t>
  </si>
  <si>
    <t>Bose</t>
  </si>
  <si>
    <t>ES</t>
  </si>
  <si>
    <t>21-AUG-CA</t>
  </si>
  <si>
    <t>Laptop Bag</t>
  </si>
  <si>
    <t>Samsonite</t>
  </si>
  <si>
    <t>Accessories</t>
  </si>
  <si>
    <t>20-AUG-CN</t>
  </si>
  <si>
    <t>Huawei</t>
  </si>
  <si>
    <t>CN</t>
  </si>
  <si>
    <t>27-JAN-IT</t>
  </si>
  <si>
    <t>Asus</t>
  </si>
  <si>
    <t>IT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</si>
  <si>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</si>
  <si>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</si>
  <si>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</si>
  <si>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</si>
  <si>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</si>
  <si>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</si>
  <si>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</si>
  <si>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</si>
  <si>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</si>
  <si>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RU</t>
  </si>
  <si>
    <t>09-JAN-CA</t>
  </si>
  <si>
    <t>Microwave</t>
  </si>
  <si>
    <t>Panasonic</t>
  </si>
  <si>
    <t>19-JUL-BR</t>
  </si>
  <si>
    <t>Fitness Tracker</t>
  </si>
  <si>
    <t>Xiaomi</t>
  </si>
  <si>
    <t>BR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</si>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</sst>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£&quot;#,##0"/>
    <numFmt numFmtId="165" formatCode="dd\-mm\-yyyy"/>
    <numFmt numFmtId="166" formatCode="[$₹-449]\ #,##0"/>
  </numFmts>
  <fonts count="11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sz val="10.0"/>
      <color theme="1"/>
      <name val="Arial"/>
    </font>
    <font>
      <sz val="11.0"/>
      <color theme="1"/>
      <name val="Times New Roman"/>
    </font>
    <font>
      <b/>
      <sz val="10.0"/>
      <color theme="1"/>
      <name val="Arial"/>
    </font>
    <font/>
    <font>
      <sz val="10.0"/>
      <color rgb="FF000000"/>
      <name val="Arial"/>
    </font>
    <font>
      <b/>
      <sz val="10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A766"/>
        <bgColor rgb="FFFFA766"/>
      </patternFill>
    </fill>
    <fill>
      <patternFill patternType="solid">
        <fgColor rgb="FF8DB5F8"/>
        <bgColor rgb="FF8DB5F8"/>
      </patternFill>
    </fill>
    <fill>
      <patternFill patternType="solid">
        <fgColor theme="0"/>
        <bgColor theme="0"/>
      </patternFill>
    </fill>
    <fill>
      <patternFill patternType="solid">
        <fgColor rgb="FFA6E3B6"/>
        <bgColor rgb="FFA6E3B6"/>
      </patternFill>
    </fill>
    <fill>
      <patternFill patternType="solid">
        <fgColor rgb="FFF28E85"/>
        <bgColor rgb="FFF28E85"/>
      </patternFill>
    </fill>
    <fill>
      <patternFill patternType="solid">
        <fgColor rgb="FFD4B2CA"/>
        <bgColor rgb="FFD4B2CA"/>
      </patternFill>
    </fill>
    <fill>
      <patternFill patternType="solid">
        <fgColor rgb="FFBFBFBF"/>
        <bgColor rgb="FFBFBFBF"/>
      </patternFill>
    </fill>
    <fill>
      <patternFill patternType="solid">
        <fgColor rgb="FFE0F7FA"/>
        <bgColor rgb="FFE0F7FA"/>
      </patternFill>
    </fill>
  </fills>
  <borders count="12">
    <border/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ill="1" applyFont="1">
      <alignment horizontal="center"/>
    </xf>
    <xf borderId="2" fillId="3" fontId="7" numFmtId="0" xfId="0" applyAlignment="1" applyBorder="1" applyFill="1" applyFont="1">
      <alignment horizontal="center" shrinkToFit="0" vertical="center" wrapText="1"/>
    </xf>
    <xf borderId="3" fillId="0" fontId="8" numFmtId="0" xfId="0" applyBorder="1" applyFont="1"/>
    <xf borderId="4" fillId="0" fontId="8" numFmtId="0" xfId="0" applyBorder="1" applyFont="1"/>
    <xf borderId="0" fillId="0" fontId="9" numFmtId="0" xfId="0" applyAlignment="1" applyFont="1">
      <alignment shrinkToFit="0" wrapText="1"/>
    </xf>
    <xf borderId="2" fillId="4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vertical="center"/>
    </xf>
    <xf borderId="2" fillId="6" fontId="10" numFmtId="0" xfId="0" applyAlignment="1" applyBorder="1" applyFill="1" applyFont="1">
      <alignment horizontal="center" vertical="center"/>
    </xf>
    <xf borderId="2" fillId="7" fontId="10" numFmtId="0" xfId="0" applyAlignment="1" applyBorder="1" applyFill="1" applyFont="1">
      <alignment horizontal="center" shrinkToFit="0" vertical="center" wrapText="1"/>
    </xf>
    <xf borderId="5" fillId="0" fontId="8" numFmtId="0" xfId="0" applyBorder="1" applyFont="1"/>
    <xf borderId="6" fillId="7" fontId="10" numFmtId="0" xfId="0" applyAlignment="1" applyBorder="1" applyFont="1">
      <alignment horizontal="center" shrinkToFit="0" vertical="center" wrapText="1"/>
    </xf>
    <xf borderId="2" fillId="8" fontId="10" numFmtId="0" xfId="0" applyAlignment="1" applyBorder="1" applyFill="1" applyFont="1">
      <alignment horizontal="center" shrinkToFit="0" vertical="center" wrapText="1"/>
    </xf>
    <xf borderId="2" fillId="9" fontId="10" numFmtId="0" xfId="0" applyAlignment="1" applyBorder="1" applyFill="1" applyFont="1">
      <alignment horizontal="center" shrinkToFit="0" vertical="center" wrapText="1"/>
    </xf>
    <xf borderId="7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8" fillId="0" fontId="9" numFmtId="0" xfId="0" applyAlignment="1" applyBorder="1" applyFont="1">
      <alignment horizontal="left"/>
    </xf>
    <xf borderId="7" fillId="0" fontId="9" numFmtId="0" xfId="0" applyBorder="1" applyFont="1"/>
    <xf borderId="8" fillId="0" fontId="9" numFmtId="0" xfId="0" applyBorder="1" applyFont="1"/>
    <xf borderId="0" fillId="0" fontId="9" numFmtId="0" xfId="0" applyFont="1"/>
    <xf borderId="7" fillId="0" fontId="9" numFmtId="16" xfId="0" applyAlignment="1" applyBorder="1" applyFont="1" applyNumberFormat="1">
      <alignment horizontal="center"/>
    </xf>
    <xf borderId="7" fillId="0" fontId="9" numFmtId="164" xfId="0" applyAlignment="1" applyBorder="1" applyFont="1" applyNumberFormat="1">
      <alignment horizontal="center"/>
    </xf>
    <xf borderId="8" fillId="0" fontId="9" numFmtId="165" xfId="0" applyAlignment="1" applyBorder="1" applyFont="1" applyNumberFormat="1">
      <alignment horizontal="center"/>
    </xf>
    <xf borderId="7" fillId="0" fontId="9" numFmtId="166" xfId="0" applyBorder="1" applyFont="1" applyNumberFormat="1"/>
    <xf borderId="8" fillId="0" fontId="9" numFmtId="0" xfId="0" applyAlignment="1" applyBorder="1" applyFont="1">
      <alignment horizontal="center"/>
    </xf>
    <xf borderId="1" fillId="10" fontId="5" numFmtId="0" xfId="0" applyBorder="1" applyFill="1" applyFont="1"/>
    <xf borderId="7" fillId="0" fontId="5" numFmtId="0" xfId="0" applyBorder="1" applyFont="1"/>
    <xf borderId="8" fillId="0" fontId="5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9" fillId="0" fontId="9" numFmtId="0" xfId="0" applyAlignment="1" applyBorder="1" applyFont="1">
      <alignment horizontal="center"/>
    </xf>
    <xf borderId="10" fillId="0" fontId="9" numFmtId="0" xfId="0" applyAlignment="1" applyBorder="1" applyFont="1">
      <alignment horizontal="center"/>
    </xf>
    <xf borderId="11" fillId="0" fontId="9" numFmtId="0" xfId="0" applyAlignment="1" applyBorder="1" applyFont="1">
      <alignment horizontal="left"/>
    </xf>
    <xf borderId="9" fillId="0" fontId="9" numFmtId="16" xfId="0" applyAlignment="1" applyBorder="1" applyFont="1" applyNumberFormat="1">
      <alignment horizontal="center"/>
    </xf>
    <xf borderId="9" fillId="0" fontId="9" numFmtId="164" xfId="0" applyAlignment="1" applyBorder="1" applyFont="1" applyNumberFormat="1">
      <alignment horizontal="center"/>
    </xf>
    <xf borderId="11" fillId="0" fontId="9" numFmtId="165" xfId="0" applyAlignment="1" applyBorder="1" applyFont="1" applyNumberFormat="1">
      <alignment horizontal="center"/>
    </xf>
    <xf borderId="9" fillId="0" fontId="9" numFmtId="166" xfId="0" applyBorder="1" applyFont="1" applyNumberFormat="1"/>
    <xf borderId="11" fillId="0" fontId="9" numFmtId="0" xfId="0" applyAlignment="1" applyBorder="1" applyFont="1">
      <alignment horizontal="center"/>
    </xf>
  </cellXfs>
  <cellStyles count="1">
    <cellStyle xfId="0" name="Normal" builtinId="0"/>
  </cellStyles>
  <dxfs count="5">
    <dxf>
      <font>
        <b/>
        <i/>
        <u/>
        <color rgb="FF083C92"/>
      </font>
      <fill>
        <patternFill patternType="none"/>
      </fill>
      <border/>
    </dxf>
    <dxf>
      <font/>
      <fill>
        <patternFill patternType="none"/>
      </fill>
      <border/>
    </dxf>
    <dxf>
      <font>
        <b/>
        <i/>
        <u/>
        <color rgb="FF8FD7DC"/>
      </font>
      <fill>
        <patternFill patternType="none"/>
      </fill>
      <border/>
    </dxf>
    <dxf>
      <font>
        <b/>
        <i/>
        <color rgb="FF8DB5F8"/>
      </font>
      <fill>
        <patternFill patternType="none"/>
      </fill>
      <border/>
    </dxf>
    <dxf>
      <font/>
      <numFmt numFmtId="0" formatCode=""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2" width="7.5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</row>
    <row r="4" ht="15.75" customHeight="1">
      <c r="C4" s="3" t="s">
        <v>2</v>
      </c>
    </row>
    <row r="5" ht="15.75" customHeight="1">
      <c r="B5" s="4"/>
      <c r="C5" s="3" t="s">
        <v>3</v>
      </c>
    </row>
    <row r="6" ht="15.75" customHeight="1">
      <c r="B6" s="4"/>
    </row>
    <row r="7" ht="15.75" customHeight="1">
      <c r="B7" s="2" t="s">
        <v>4</v>
      </c>
    </row>
    <row r="8" ht="15.75" customHeight="1">
      <c r="C8" s="3" t="s">
        <v>5</v>
      </c>
    </row>
    <row r="9" ht="15.75" customHeight="1">
      <c r="C9" s="3" t="s">
        <v>6</v>
      </c>
    </row>
    <row r="10" ht="15.75" customHeight="1">
      <c r="C10" s="3" t="s">
        <v>7</v>
      </c>
    </row>
    <row r="11" ht="15.75" customHeight="1">
      <c r="B11" s="4"/>
    </row>
    <row r="12" ht="15.75" customHeight="1">
      <c r="B12" s="2" t="s">
        <v>8</v>
      </c>
    </row>
    <row r="13" ht="15.75" customHeight="1">
      <c r="B13" s="2"/>
      <c r="C13" s="3" t="s">
        <v>9</v>
      </c>
    </row>
    <row r="14" ht="15.75" customHeight="1"/>
    <row r="15" ht="15.75" customHeight="1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ht="15.75" customHeight="1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ht="15.75" customHeight="1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ht="15.75" customHeight="1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75" customHeight="1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ht="15.75" customHeight="1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ht="15.75" customHeight="1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ht="15.75" customHeight="1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5.75" customHeight="1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ht="15.75" customHeight="1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ht="15.75" customHeight="1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ht="15.75" customHeight="1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ht="15.75" customHeight="1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8" max="8" width="14.5"/>
    <col customWidth="1" min="9" max="9" width="11.0"/>
    <col customWidth="1" min="10" max="10" width="12.5"/>
    <col customWidth="1" min="12" max="12" width="15.63"/>
    <col customWidth="1" min="15" max="15" width="16.25"/>
    <col customWidth="1" min="16" max="16" width="19.25"/>
    <col customWidth="1" min="20" max="20" width="14.13"/>
    <col customWidth="1" min="24" max="24" width="23.38"/>
    <col customWidth="1" min="27" max="27" width="18.5"/>
    <col customWidth="1" min="29" max="29" width="17.75"/>
    <col customWidth="1" min="30" max="30" width="16.75"/>
  </cols>
  <sheetData>
    <row r="1" ht="38.2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H1" s="8" t="s">
        <v>25</v>
      </c>
      <c r="I1" s="9"/>
      <c r="J1" s="10"/>
      <c r="K1" s="11"/>
      <c r="L1" s="12" t="s">
        <v>26</v>
      </c>
      <c r="M1" s="10"/>
      <c r="N1" s="13"/>
      <c r="O1" s="14" t="s">
        <v>27</v>
      </c>
      <c r="P1" s="9"/>
      <c r="Q1" s="9"/>
      <c r="R1" s="9"/>
      <c r="S1" s="9"/>
      <c r="T1" s="10"/>
      <c r="V1" s="15" t="s">
        <v>28</v>
      </c>
      <c r="W1" s="16"/>
      <c r="X1" s="17" t="s">
        <v>29</v>
      </c>
      <c r="Z1" s="18" t="s">
        <v>30</v>
      </c>
      <c r="AA1" s="10"/>
      <c r="AC1" s="19" t="s">
        <v>31</v>
      </c>
      <c r="AD1" s="10"/>
    </row>
    <row r="2" ht="15.75" customHeight="1">
      <c r="A2" s="5" t="s">
        <v>32</v>
      </c>
      <c r="B2" s="5" t="s">
        <v>33</v>
      </c>
      <c r="C2" s="5" t="s">
        <v>34</v>
      </c>
      <c r="D2" s="5">
        <v>1000.0</v>
      </c>
      <c r="E2" s="5">
        <v>30.0</v>
      </c>
      <c r="F2" s="5" t="s">
        <v>35</v>
      </c>
      <c r="H2" s="20" t="b">
        <f t="shared" ref="H2:H35" si="1">ISBLANK(D2)</f>
        <v>0</v>
      </c>
      <c r="I2" s="21">
        <f t="shared" ref="I2:I35" si="2">IF(ISBLANK(D2),ROUND(AVERAGEIF($J$2:$J$35,J2,$D$2:$D$35),0),D2)</f>
        <v>1000</v>
      </c>
      <c r="J2" s="22" t="str">
        <f t="shared" ref="J2:J35" si="3">IF(ISBLANK(F2),"Unknown",F2)</f>
        <v>Electronics</v>
      </c>
      <c r="L2" s="23" t="s">
        <v>36</v>
      </c>
      <c r="M2" s="24" t="s">
        <v>35</v>
      </c>
      <c r="O2" s="23" t="s">
        <v>32</v>
      </c>
      <c r="P2" s="25" t="s">
        <v>33</v>
      </c>
      <c r="Q2" s="25" t="s">
        <v>34</v>
      </c>
      <c r="R2" s="25">
        <v>1000.0</v>
      </c>
      <c r="S2" s="25">
        <v>30.0</v>
      </c>
      <c r="T2" s="24" t="s">
        <v>35</v>
      </c>
      <c r="V2" s="26">
        <v>45685.0</v>
      </c>
      <c r="W2" s="21" t="s">
        <v>37</v>
      </c>
      <c r="X2" s="24" t="str">
        <f t="shared" ref="X2:X35" si="4">CONCATENATE(B2,"-",C2)</f>
        <v>laptop-Dell</v>
      </c>
      <c r="Z2" s="27">
        <v>1000.0</v>
      </c>
      <c r="AA2" s="28">
        <v>45685.0</v>
      </c>
      <c r="AC2" s="29">
        <v>1000.0</v>
      </c>
      <c r="AD2" s="30" t="s">
        <v>35</v>
      </c>
    </row>
    <row r="3" ht="15.75" customHeight="1">
      <c r="A3" s="31" t="s">
        <v>38</v>
      </c>
      <c r="B3" s="31" t="s">
        <v>39</v>
      </c>
      <c r="C3" s="31" t="s">
        <v>40</v>
      </c>
      <c r="D3" s="31">
        <v>80.0</v>
      </c>
      <c r="E3" s="31">
        <v>15.0</v>
      </c>
      <c r="F3" s="31" t="s">
        <v>41</v>
      </c>
      <c r="H3" s="20" t="b">
        <f t="shared" si="1"/>
        <v>0</v>
      </c>
      <c r="I3" s="21">
        <f t="shared" si="2"/>
        <v>80</v>
      </c>
      <c r="J3" s="22" t="str">
        <f t="shared" si="3"/>
        <v>Fashion</v>
      </c>
      <c r="K3" s="5"/>
      <c r="L3" s="32" t="s">
        <v>39</v>
      </c>
      <c r="M3" s="33" t="s">
        <v>41</v>
      </c>
      <c r="N3" s="5"/>
      <c r="O3" s="32" t="s">
        <v>38</v>
      </c>
      <c r="P3" s="5" t="s">
        <v>39</v>
      </c>
      <c r="Q3" s="5" t="s">
        <v>40</v>
      </c>
      <c r="R3" s="25">
        <v>80.0</v>
      </c>
      <c r="S3" s="25">
        <v>15.0</v>
      </c>
      <c r="T3" s="24" t="s">
        <v>41</v>
      </c>
      <c r="V3" s="26">
        <v>45703.0</v>
      </c>
      <c r="W3" s="21" t="s">
        <v>37</v>
      </c>
      <c r="X3" s="24" t="str">
        <f t="shared" si="4"/>
        <v>Sneakers-Nike</v>
      </c>
      <c r="Z3" s="27">
        <v>80.0</v>
      </c>
      <c r="AA3" s="28">
        <v>45703.0</v>
      </c>
      <c r="AC3" s="29">
        <v>80.0</v>
      </c>
      <c r="AD3" s="30" t="s">
        <v>41</v>
      </c>
    </row>
    <row r="4" ht="15.75" customHeight="1">
      <c r="A4" s="5" t="s">
        <v>42</v>
      </c>
      <c r="B4" s="5" t="s">
        <v>43</v>
      </c>
      <c r="C4" s="5" t="s">
        <v>44</v>
      </c>
      <c r="D4" s="5">
        <v>130.0</v>
      </c>
      <c r="E4" s="5">
        <v>40.0</v>
      </c>
      <c r="F4" s="5" t="s">
        <v>45</v>
      </c>
      <c r="H4" s="20" t="b">
        <f t="shared" si="1"/>
        <v>0</v>
      </c>
      <c r="I4" s="21">
        <f t="shared" si="2"/>
        <v>130</v>
      </c>
      <c r="J4" s="22" t="str">
        <f t="shared" si="3"/>
        <v>Kitchen</v>
      </c>
      <c r="K4" s="3"/>
      <c r="L4" s="32" t="s">
        <v>43</v>
      </c>
      <c r="M4" s="33" t="s">
        <v>45</v>
      </c>
      <c r="N4" s="5"/>
      <c r="O4" s="32" t="s">
        <v>42</v>
      </c>
      <c r="P4" s="5" t="s">
        <v>43</v>
      </c>
      <c r="Q4" s="5" t="s">
        <v>44</v>
      </c>
      <c r="R4" s="25">
        <v>130.0</v>
      </c>
      <c r="S4" s="25">
        <v>40.0</v>
      </c>
      <c r="T4" s="24" t="s">
        <v>45</v>
      </c>
      <c r="V4" s="26">
        <v>45719.0</v>
      </c>
      <c r="W4" s="21" t="s">
        <v>37</v>
      </c>
      <c r="X4" s="24" t="str">
        <f t="shared" si="4"/>
        <v>Coffee Maker-Keurig</v>
      </c>
      <c r="Z4" s="27">
        <v>130.0</v>
      </c>
      <c r="AA4" s="28">
        <v>45719.0</v>
      </c>
      <c r="AC4" s="29">
        <v>130.0</v>
      </c>
      <c r="AD4" s="30" t="s">
        <v>45</v>
      </c>
    </row>
    <row r="5" ht="15.75" customHeight="1">
      <c r="A5" s="31" t="s">
        <v>46</v>
      </c>
      <c r="B5" s="31" t="s">
        <v>47</v>
      </c>
      <c r="C5" s="31" t="s">
        <v>48</v>
      </c>
      <c r="D5" s="31">
        <v>900.0</v>
      </c>
      <c r="E5" s="31">
        <v>25.0</v>
      </c>
      <c r="F5" s="31" t="s">
        <v>35</v>
      </c>
      <c r="H5" s="20" t="b">
        <f t="shared" si="1"/>
        <v>0</v>
      </c>
      <c r="I5" s="21">
        <f t="shared" si="2"/>
        <v>900</v>
      </c>
      <c r="J5" s="22" t="str">
        <f t="shared" si="3"/>
        <v>Electronics</v>
      </c>
      <c r="K5" s="3"/>
      <c r="L5" s="32" t="s">
        <v>49</v>
      </c>
      <c r="M5" s="33" t="s">
        <v>35</v>
      </c>
      <c r="N5" s="5"/>
      <c r="O5" s="32" t="s">
        <v>46</v>
      </c>
      <c r="P5" s="5" t="s">
        <v>47</v>
      </c>
      <c r="Q5" s="5" t="s">
        <v>48</v>
      </c>
      <c r="R5" s="25">
        <v>900.0</v>
      </c>
      <c r="S5" s="25">
        <v>25.0</v>
      </c>
      <c r="T5" s="24" t="s">
        <v>35</v>
      </c>
      <c r="V5" s="26">
        <v>45758.0</v>
      </c>
      <c r="W5" s="21" t="s">
        <v>37</v>
      </c>
      <c r="X5" s="24" t="str">
        <f t="shared" si="4"/>
        <v>smartphone-Samsung</v>
      </c>
      <c r="Z5" s="27">
        <v>900.0</v>
      </c>
      <c r="AA5" s="28">
        <v>45758.0</v>
      </c>
      <c r="AC5" s="29">
        <v>900.0</v>
      </c>
      <c r="AD5" s="30" t="s">
        <v>35</v>
      </c>
    </row>
    <row r="6" ht="15.75" customHeight="1">
      <c r="A6" s="5" t="s">
        <v>50</v>
      </c>
      <c r="B6" s="5" t="s">
        <v>51</v>
      </c>
      <c r="C6" s="5" t="s">
        <v>52</v>
      </c>
      <c r="D6" s="5">
        <v>70.0</v>
      </c>
      <c r="E6" s="5">
        <v>20.0</v>
      </c>
      <c r="F6" s="5"/>
      <c r="H6" s="20" t="b">
        <f t="shared" si="1"/>
        <v>0</v>
      </c>
      <c r="I6" s="21">
        <f t="shared" si="2"/>
        <v>70</v>
      </c>
      <c r="J6" s="22" t="str">
        <f t="shared" si="3"/>
        <v>Unknown</v>
      </c>
      <c r="L6" s="23" t="s">
        <v>51</v>
      </c>
      <c r="M6" s="24" t="s">
        <v>53</v>
      </c>
      <c r="O6" s="23" t="s">
        <v>50</v>
      </c>
      <c r="P6" s="25" t="s">
        <v>51</v>
      </c>
      <c r="Q6" s="25" t="s">
        <v>52</v>
      </c>
      <c r="R6" s="25">
        <v>70.0</v>
      </c>
      <c r="S6" s="25">
        <v>20.0</v>
      </c>
      <c r="T6" s="24" t="s">
        <v>53</v>
      </c>
      <c r="V6" s="26">
        <v>45799.0</v>
      </c>
      <c r="W6" s="21" t="s">
        <v>37</v>
      </c>
      <c r="X6" s="24" t="str">
        <f t="shared" si="4"/>
        <v>Backpack-North Face</v>
      </c>
      <c r="Z6" s="27">
        <v>70.0</v>
      </c>
      <c r="AA6" s="28">
        <v>45799.0</v>
      </c>
      <c r="AC6" s="29">
        <v>70.0</v>
      </c>
      <c r="AD6" s="30" t="s">
        <v>53</v>
      </c>
    </row>
    <row r="7" ht="15.75" customHeight="1">
      <c r="A7" s="31" t="s">
        <v>54</v>
      </c>
      <c r="B7" s="31" t="s">
        <v>55</v>
      </c>
      <c r="C7" s="31" t="s">
        <v>56</v>
      </c>
      <c r="D7" s="31"/>
      <c r="E7" s="31">
        <v>45.0</v>
      </c>
      <c r="F7" s="31" t="s">
        <v>57</v>
      </c>
      <c r="H7" s="20" t="b">
        <f t="shared" si="1"/>
        <v>1</v>
      </c>
      <c r="I7" s="21">
        <f t="shared" si="2"/>
        <v>203</v>
      </c>
      <c r="J7" s="22" t="str">
        <f t="shared" si="3"/>
        <v>Electroni</v>
      </c>
      <c r="L7" s="23" t="s">
        <v>55</v>
      </c>
      <c r="M7" s="24" t="s">
        <v>35</v>
      </c>
      <c r="O7" s="23" t="s">
        <v>54</v>
      </c>
      <c r="P7" s="25" t="s">
        <v>55</v>
      </c>
      <c r="Q7" s="25" t="s">
        <v>56</v>
      </c>
      <c r="R7" s="25">
        <v>203.0</v>
      </c>
      <c r="S7" s="25">
        <v>45.0</v>
      </c>
      <c r="T7" s="24" t="s">
        <v>57</v>
      </c>
      <c r="V7" s="26">
        <v>45815.0</v>
      </c>
      <c r="W7" s="21" t="s">
        <v>58</v>
      </c>
      <c r="X7" s="24" t="str">
        <f t="shared" si="4"/>
        <v>Headphones-Sony</v>
      </c>
      <c r="Z7" s="27">
        <v>309.35483870967744</v>
      </c>
      <c r="AA7" s="28">
        <v>45815.0</v>
      </c>
      <c r="AC7" s="29">
        <v>309.35483870967744</v>
      </c>
      <c r="AD7" s="30" t="s">
        <v>35</v>
      </c>
    </row>
    <row r="8" ht="15.75" customHeight="1">
      <c r="A8" s="5" t="s">
        <v>59</v>
      </c>
      <c r="B8" s="5" t="s">
        <v>60</v>
      </c>
      <c r="C8" s="5" t="s">
        <v>61</v>
      </c>
      <c r="D8" s="5">
        <v>30.0</v>
      </c>
      <c r="E8" s="5">
        <v>5.0</v>
      </c>
      <c r="F8" s="5" t="s">
        <v>41</v>
      </c>
      <c r="H8" s="20" t="b">
        <f t="shared" si="1"/>
        <v>0</v>
      </c>
      <c r="I8" s="21">
        <f t="shared" si="2"/>
        <v>30</v>
      </c>
      <c r="J8" s="22" t="str">
        <f t="shared" si="3"/>
        <v>Fashion</v>
      </c>
      <c r="L8" s="23" t="s">
        <v>60</v>
      </c>
      <c r="M8" s="24" t="s">
        <v>41</v>
      </c>
      <c r="O8" s="23" t="s">
        <v>59</v>
      </c>
      <c r="P8" s="25" t="s">
        <v>60</v>
      </c>
      <c r="Q8" s="25" t="s">
        <v>61</v>
      </c>
      <c r="R8" s="25">
        <v>30.0</v>
      </c>
      <c r="S8" s="25">
        <v>5.0</v>
      </c>
      <c r="T8" s="24" t="s">
        <v>41</v>
      </c>
      <c r="V8" s="26">
        <v>45857.0</v>
      </c>
      <c r="W8" s="21" t="s">
        <v>58</v>
      </c>
      <c r="X8" s="24" t="str">
        <f t="shared" si="4"/>
        <v>T-shirt-Adidas</v>
      </c>
      <c r="Z8" s="27">
        <v>30.0</v>
      </c>
      <c r="AA8" s="28">
        <v>45857.0</v>
      </c>
      <c r="AC8" s="29">
        <v>30.0</v>
      </c>
      <c r="AD8" s="30" t="s">
        <v>41</v>
      </c>
    </row>
    <row r="9" ht="15.75" customHeight="1">
      <c r="A9" s="31" t="s">
        <v>62</v>
      </c>
      <c r="B9" s="31" t="s">
        <v>63</v>
      </c>
      <c r="C9" s="31" t="s">
        <v>64</v>
      </c>
      <c r="D9" s="31">
        <v>90.0</v>
      </c>
      <c r="E9" s="31">
        <v>35.0</v>
      </c>
      <c r="F9" s="31" t="s">
        <v>45</v>
      </c>
      <c r="H9" s="20" t="b">
        <f t="shared" si="1"/>
        <v>0</v>
      </c>
      <c r="I9" s="21">
        <f t="shared" si="2"/>
        <v>90</v>
      </c>
      <c r="J9" s="22" t="str">
        <f t="shared" si="3"/>
        <v>Kitchen</v>
      </c>
      <c r="L9" s="23" t="s">
        <v>63</v>
      </c>
      <c r="M9" s="24" t="s">
        <v>45</v>
      </c>
      <c r="O9" s="23" t="s">
        <v>62</v>
      </c>
      <c r="P9" s="25" t="s">
        <v>63</v>
      </c>
      <c r="Q9" s="25" t="s">
        <v>64</v>
      </c>
      <c r="R9" s="25">
        <v>90.0</v>
      </c>
      <c r="S9" s="25">
        <v>35.0</v>
      </c>
      <c r="T9" s="24" t="s">
        <v>45</v>
      </c>
      <c r="V9" s="26">
        <v>45892.0</v>
      </c>
      <c r="W9" s="21" t="s">
        <v>58</v>
      </c>
      <c r="X9" s="24" t="str">
        <f t="shared" si="4"/>
        <v>Blender-Ninja</v>
      </c>
      <c r="Z9" s="27">
        <v>90.0</v>
      </c>
      <c r="AA9" s="28">
        <v>45892.0</v>
      </c>
      <c r="AC9" s="29">
        <v>90.0</v>
      </c>
      <c r="AD9" s="30" t="s">
        <v>45</v>
      </c>
    </row>
    <row r="10" ht="15.75" customHeight="1">
      <c r="A10" s="5" t="s">
        <v>65</v>
      </c>
      <c r="B10" s="5" t="s">
        <v>66</v>
      </c>
      <c r="C10" s="5" t="s">
        <v>67</v>
      </c>
      <c r="D10" s="5">
        <v>500.0</v>
      </c>
      <c r="E10" s="5">
        <v>50.0</v>
      </c>
      <c r="F10" s="5" t="s">
        <v>35</v>
      </c>
      <c r="H10" s="20" t="b">
        <f t="shared" si="1"/>
        <v>0</v>
      </c>
      <c r="I10" s="21">
        <f t="shared" si="2"/>
        <v>500</v>
      </c>
      <c r="J10" s="22" t="str">
        <f t="shared" si="3"/>
        <v>Electronics</v>
      </c>
      <c r="L10" s="23" t="s">
        <v>66</v>
      </c>
      <c r="M10" s="24" t="s">
        <v>35</v>
      </c>
      <c r="O10" s="23" t="s">
        <v>65</v>
      </c>
      <c r="P10" s="25" t="s">
        <v>66</v>
      </c>
      <c r="Q10" s="25" t="s">
        <v>67</v>
      </c>
      <c r="R10" s="25">
        <v>500.0</v>
      </c>
      <c r="S10" s="25">
        <v>50.0</v>
      </c>
      <c r="T10" s="24" t="s">
        <v>35</v>
      </c>
      <c r="V10" s="26">
        <v>45905.0</v>
      </c>
      <c r="W10" s="21" t="s">
        <v>58</v>
      </c>
      <c r="X10" s="24" t="str">
        <f t="shared" si="4"/>
        <v>Tablet-Apple</v>
      </c>
      <c r="Z10" s="27">
        <v>500.0</v>
      </c>
      <c r="AA10" s="28">
        <v>45905.0</v>
      </c>
      <c r="AC10" s="29">
        <v>500.0</v>
      </c>
      <c r="AD10" s="30" t="s">
        <v>35</v>
      </c>
    </row>
    <row r="11" ht="15.75" customHeight="1">
      <c r="A11" s="31" t="s">
        <v>68</v>
      </c>
      <c r="B11" s="31" t="s">
        <v>69</v>
      </c>
      <c r="C11" s="31" t="s">
        <v>70</v>
      </c>
      <c r="D11" s="31">
        <v>130.0</v>
      </c>
      <c r="E11" s="31">
        <v>10.0</v>
      </c>
      <c r="F11" s="31" t="s">
        <v>71</v>
      </c>
      <c r="H11" s="20" t="b">
        <f t="shared" si="1"/>
        <v>0</v>
      </c>
      <c r="I11" s="21">
        <f t="shared" si="2"/>
        <v>130</v>
      </c>
      <c r="J11" s="22" t="str">
        <f t="shared" si="3"/>
        <v>Outdoor</v>
      </c>
      <c r="L11" s="23" t="s">
        <v>69</v>
      </c>
      <c r="M11" s="24" t="s">
        <v>71</v>
      </c>
      <c r="O11" s="23" t="s">
        <v>68</v>
      </c>
      <c r="P11" s="25" t="s">
        <v>69</v>
      </c>
      <c r="Q11" s="25" t="s">
        <v>70</v>
      </c>
      <c r="R11" s="25">
        <v>130.0</v>
      </c>
      <c r="S11" s="25">
        <v>10.0</v>
      </c>
      <c r="T11" s="24" t="s">
        <v>71</v>
      </c>
      <c r="V11" s="26">
        <v>45944.0</v>
      </c>
      <c r="W11" s="21" t="s">
        <v>58</v>
      </c>
      <c r="X11" s="24" t="str">
        <f t="shared" si="4"/>
        <v>Hiking Boots-Timberland</v>
      </c>
      <c r="Z11" s="27">
        <v>130.0</v>
      </c>
      <c r="AA11" s="28">
        <v>45944.0</v>
      </c>
      <c r="AC11" s="29">
        <v>130.0</v>
      </c>
      <c r="AD11" s="30" t="s">
        <v>71</v>
      </c>
    </row>
    <row r="12" ht="15.75" customHeight="1">
      <c r="A12" s="5" t="s">
        <v>72</v>
      </c>
      <c r="B12" s="5" t="s">
        <v>36</v>
      </c>
      <c r="C12" s="5" t="s">
        <v>73</v>
      </c>
      <c r="D12" s="5">
        <v>950.0</v>
      </c>
      <c r="E12" s="5">
        <v>25.0</v>
      </c>
      <c r="F12" s="5" t="s">
        <v>35</v>
      </c>
      <c r="H12" s="20" t="b">
        <f t="shared" si="1"/>
        <v>0</v>
      </c>
      <c r="I12" s="21">
        <f t="shared" si="2"/>
        <v>950</v>
      </c>
      <c r="J12" s="22" t="str">
        <f t="shared" si="3"/>
        <v>Electronics</v>
      </c>
      <c r="L12" s="23" t="s">
        <v>36</v>
      </c>
      <c r="M12" s="24" t="s">
        <v>35</v>
      </c>
      <c r="O12" s="23" t="s">
        <v>72</v>
      </c>
      <c r="P12" s="25" t="s">
        <v>36</v>
      </c>
      <c r="Q12" s="25" t="s">
        <v>73</v>
      </c>
      <c r="R12" s="25">
        <v>950.0</v>
      </c>
      <c r="S12" s="25">
        <v>25.0</v>
      </c>
      <c r="T12" s="24" t="s">
        <v>35</v>
      </c>
      <c r="V12" s="26">
        <v>45825.0</v>
      </c>
      <c r="W12" s="21" t="s">
        <v>74</v>
      </c>
      <c r="X12" s="24" t="str">
        <f t="shared" si="4"/>
        <v>Laptop-HP</v>
      </c>
      <c r="Z12" s="27">
        <v>950.0</v>
      </c>
      <c r="AA12" s="28">
        <v>45825.0</v>
      </c>
      <c r="AC12" s="29">
        <v>950.0</v>
      </c>
      <c r="AD12" s="30" t="s">
        <v>35</v>
      </c>
    </row>
    <row r="13" ht="15.75" customHeight="1">
      <c r="A13" s="31" t="s">
        <v>75</v>
      </c>
      <c r="B13" s="31" t="s">
        <v>39</v>
      </c>
      <c r="C13" s="31" t="s">
        <v>61</v>
      </c>
      <c r="D13" s="31">
        <v>90.0</v>
      </c>
      <c r="E13" s="31">
        <v>40.0</v>
      </c>
      <c r="F13" s="31"/>
      <c r="H13" s="20" t="b">
        <f t="shared" si="1"/>
        <v>0</v>
      </c>
      <c r="I13" s="21">
        <f t="shared" si="2"/>
        <v>90</v>
      </c>
      <c r="J13" s="22" t="str">
        <f t="shared" si="3"/>
        <v>Unknown</v>
      </c>
      <c r="L13" s="23" t="s">
        <v>39</v>
      </c>
      <c r="M13" s="24" t="s">
        <v>53</v>
      </c>
      <c r="O13" s="23" t="s">
        <v>75</v>
      </c>
      <c r="P13" s="25" t="s">
        <v>39</v>
      </c>
      <c r="Q13" s="25" t="s">
        <v>61</v>
      </c>
      <c r="R13" s="25">
        <v>90.0</v>
      </c>
      <c r="S13" s="25">
        <v>40.0</v>
      </c>
      <c r="T13" s="24" t="s">
        <v>53</v>
      </c>
      <c r="V13" s="26">
        <v>45986.0</v>
      </c>
      <c r="W13" s="21" t="s">
        <v>76</v>
      </c>
      <c r="X13" s="24" t="str">
        <f t="shared" si="4"/>
        <v>Sneakers-Adidas</v>
      </c>
      <c r="Z13" s="27">
        <v>90.0</v>
      </c>
      <c r="AA13" s="28">
        <v>45986.0</v>
      </c>
      <c r="AC13" s="29">
        <v>90.0</v>
      </c>
      <c r="AD13" s="30" t="s">
        <v>53</v>
      </c>
    </row>
    <row r="14" ht="15.75" customHeight="1">
      <c r="A14" s="5" t="s">
        <v>77</v>
      </c>
      <c r="B14" s="5" t="s">
        <v>43</v>
      </c>
      <c r="C14" s="5" t="s">
        <v>78</v>
      </c>
      <c r="D14" s="5">
        <v>120.0</v>
      </c>
      <c r="E14" s="5">
        <v>35.0</v>
      </c>
      <c r="F14" s="5"/>
      <c r="H14" s="20" t="b">
        <f t="shared" si="1"/>
        <v>0</v>
      </c>
      <c r="I14" s="21">
        <f t="shared" si="2"/>
        <v>120</v>
      </c>
      <c r="J14" s="22" t="str">
        <f t="shared" si="3"/>
        <v>Unknown</v>
      </c>
      <c r="L14" s="23" t="s">
        <v>43</v>
      </c>
      <c r="M14" s="24" t="s">
        <v>53</v>
      </c>
      <c r="O14" s="23" t="s">
        <v>77</v>
      </c>
      <c r="P14" s="25" t="s">
        <v>43</v>
      </c>
      <c r="Q14" s="25" t="s">
        <v>78</v>
      </c>
      <c r="R14" s="25">
        <v>120.0</v>
      </c>
      <c r="S14" s="25">
        <v>35.0</v>
      </c>
      <c r="T14" s="24" t="s">
        <v>53</v>
      </c>
      <c r="V14" s="26">
        <v>45999.0</v>
      </c>
      <c r="W14" s="21" t="s">
        <v>79</v>
      </c>
      <c r="X14" s="24" t="str">
        <f t="shared" si="4"/>
        <v>Coffee Maker-Nespresso</v>
      </c>
      <c r="Z14" s="27">
        <v>120.0</v>
      </c>
      <c r="AA14" s="28">
        <v>45999.0</v>
      </c>
      <c r="AC14" s="29">
        <v>120.0</v>
      </c>
      <c r="AD14" s="30" t="s">
        <v>53</v>
      </c>
    </row>
    <row r="15" ht="15.75" customHeight="1">
      <c r="A15" s="31" t="s">
        <v>80</v>
      </c>
      <c r="B15" s="31" t="s">
        <v>81</v>
      </c>
      <c r="C15" s="31" t="s">
        <v>82</v>
      </c>
      <c r="D15" s="31">
        <v>150.0</v>
      </c>
      <c r="E15" s="31">
        <v>15.0</v>
      </c>
      <c r="F15" s="31" t="s">
        <v>57</v>
      </c>
      <c r="H15" s="20" t="b">
        <f t="shared" si="1"/>
        <v>0</v>
      </c>
      <c r="I15" s="21">
        <f t="shared" si="2"/>
        <v>150</v>
      </c>
      <c r="J15" s="22" t="str">
        <f t="shared" si="3"/>
        <v>Electroni</v>
      </c>
      <c r="L15" s="23" t="s">
        <v>81</v>
      </c>
      <c r="M15" s="24" t="s">
        <v>35</v>
      </c>
      <c r="O15" s="23" t="s">
        <v>80</v>
      </c>
      <c r="P15" s="25" t="s">
        <v>81</v>
      </c>
      <c r="Q15" s="25" t="s">
        <v>82</v>
      </c>
      <c r="R15" s="25">
        <v>150.0</v>
      </c>
      <c r="S15" s="25">
        <v>15.0</v>
      </c>
      <c r="T15" s="24" t="s">
        <v>57</v>
      </c>
      <c r="V15" s="26">
        <v>45706.0</v>
      </c>
      <c r="W15" s="21" t="s">
        <v>83</v>
      </c>
      <c r="X15" s="24" t="str">
        <f t="shared" si="4"/>
        <v>Smartwatch-Fitbit</v>
      </c>
      <c r="Z15" s="27">
        <v>150.0</v>
      </c>
      <c r="AA15" s="28">
        <v>45706.0</v>
      </c>
      <c r="AC15" s="29">
        <v>150.0</v>
      </c>
      <c r="AD15" s="30" t="s">
        <v>35</v>
      </c>
    </row>
    <row r="16" ht="15.75" customHeight="1">
      <c r="A16" s="5" t="s">
        <v>84</v>
      </c>
      <c r="B16" s="5" t="s">
        <v>85</v>
      </c>
      <c r="C16" s="5" t="s">
        <v>86</v>
      </c>
      <c r="D16" s="5">
        <v>250.0</v>
      </c>
      <c r="E16" s="5">
        <v>20.0</v>
      </c>
      <c r="F16" s="5" t="s">
        <v>57</v>
      </c>
      <c r="H16" s="20" t="b">
        <f t="shared" si="1"/>
        <v>0</v>
      </c>
      <c r="I16" s="21">
        <f t="shared" si="2"/>
        <v>250</v>
      </c>
      <c r="J16" s="22" t="str">
        <f t="shared" si="3"/>
        <v>Electroni</v>
      </c>
      <c r="L16" s="23" t="s">
        <v>55</v>
      </c>
      <c r="M16" s="24" t="s">
        <v>35</v>
      </c>
      <c r="O16" s="23" t="s">
        <v>84</v>
      </c>
      <c r="P16" s="25" t="s">
        <v>85</v>
      </c>
      <c r="Q16" s="25" t="s">
        <v>86</v>
      </c>
      <c r="R16" s="25">
        <v>250.0</v>
      </c>
      <c r="S16" s="25">
        <v>20.0</v>
      </c>
      <c r="T16" s="24" t="s">
        <v>57</v>
      </c>
      <c r="V16" s="26">
        <v>45763.0</v>
      </c>
      <c r="W16" s="21" t="s">
        <v>87</v>
      </c>
      <c r="X16" s="24" t="str">
        <f t="shared" si="4"/>
        <v>headphones-Bose</v>
      </c>
      <c r="Z16" s="27">
        <v>250.0</v>
      </c>
      <c r="AA16" s="28">
        <v>45763.0</v>
      </c>
      <c r="AC16" s="29">
        <v>250.0</v>
      </c>
      <c r="AD16" s="30" t="s">
        <v>35</v>
      </c>
    </row>
    <row r="17" ht="15.75" customHeight="1">
      <c r="A17" s="31" t="s">
        <v>88</v>
      </c>
      <c r="B17" s="31" t="s">
        <v>89</v>
      </c>
      <c r="C17" s="31" t="s">
        <v>90</v>
      </c>
      <c r="D17" s="31">
        <v>50.0</v>
      </c>
      <c r="E17" s="31">
        <v>35.0</v>
      </c>
      <c r="F17" s="31" t="s">
        <v>91</v>
      </c>
      <c r="H17" s="20" t="b">
        <f t="shared" si="1"/>
        <v>0</v>
      </c>
      <c r="I17" s="21">
        <f t="shared" si="2"/>
        <v>50</v>
      </c>
      <c r="J17" s="22" t="str">
        <f t="shared" si="3"/>
        <v>Accessories</v>
      </c>
      <c r="L17" s="23" t="s">
        <v>89</v>
      </c>
      <c r="M17" s="24" t="s">
        <v>91</v>
      </c>
      <c r="O17" s="23" t="s">
        <v>88</v>
      </c>
      <c r="P17" s="25" t="s">
        <v>89</v>
      </c>
      <c r="Q17" s="25" t="s">
        <v>90</v>
      </c>
      <c r="R17" s="25">
        <v>50.0</v>
      </c>
      <c r="S17" s="25">
        <v>35.0</v>
      </c>
      <c r="T17" s="24" t="s">
        <v>91</v>
      </c>
      <c r="V17" s="26">
        <v>45890.0</v>
      </c>
      <c r="W17" s="21" t="s">
        <v>83</v>
      </c>
      <c r="X17" s="24" t="str">
        <f t="shared" si="4"/>
        <v>Laptop Bag-Samsonite</v>
      </c>
      <c r="Z17" s="27">
        <v>50.0</v>
      </c>
      <c r="AA17" s="28">
        <v>45890.0</v>
      </c>
      <c r="AC17" s="29">
        <v>50.0</v>
      </c>
      <c r="AD17" s="30" t="s">
        <v>91</v>
      </c>
    </row>
    <row r="18" ht="15.75" customHeight="1">
      <c r="A18" s="5" t="s">
        <v>92</v>
      </c>
      <c r="B18" s="5" t="s">
        <v>81</v>
      </c>
      <c r="C18" s="5" t="s">
        <v>93</v>
      </c>
      <c r="D18" s="5">
        <v>160.0</v>
      </c>
      <c r="E18" s="5">
        <v>15.0</v>
      </c>
      <c r="F18" s="5" t="s">
        <v>57</v>
      </c>
      <c r="H18" s="20" t="b">
        <f t="shared" si="1"/>
        <v>0</v>
      </c>
      <c r="I18" s="21">
        <f t="shared" si="2"/>
        <v>160</v>
      </c>
      <c r="J18" s="22" t="str">
        <f t="shared" si="3"/>
        <v>Electroni</v>
      </c>
      <c r="L18" s="23" t="s">
        <v>81</v>
      </c>
      <c r="M18" s="24" t="s">
        <v>35</v>
      </c>
      <c r="O18" s="23" t="s">
        <v>92</v>
      </c>
      <c r="P18" s="25" t="s">
        <v>81</v>
      </c>
      <c r="Q18" s="25" t="s">
        <v>93</v>
      </c>
      <c r="R18" s="25">
        <v>160.0</v>
      </c>
      <c r="S18" s="25">
        <v>15.0</v>
      </c>
      <c r="T18" s="24" t="s">
        <v>57</v>
      </c>
      <c r="V18" s="26">
        <v>45889.0</v>
      </c>
      <c r="W18" s="21" t="s">
        <v>94</v>
      </c>
      <c r="X18" s="24" t="str">
        <f t="shared" si="4"/>
        <v>Smartwatch-Huawei</v>
      </c>
      <c r="Z18" s="27">
        <v>160.0</v>
      </c>
      <c r="AA18" s="28">
        <v>45889.0</v>
      </c>
      <c r="AC18" s="29">
        <v>160.0</v>
      </c>
      <c r="AD18" s="30" t="s">
        <v>35</v>
      </c>
    </row>
    <row r="19" ht="15.75" customHeight="1">
      <c r="A19" s="31" t="s">
        <v>95</v>
      </c>
      <c r="B19" s="31" t="s">
        <v>33</v>
      </c>
      <c r="C19" s="31" t="s">
        <v>96</v>
      </c>
      <c r="D19" s="31">
        <v>980.0</v>
      </c>
      <c r="E19" s="31">
        <v>10.0</v>
      </c>
      <c r="F19" s="31" t="s">
        <v>35</v>
      </c>
      <c r="H19" s="20" t="b">
        <f t="shared" si="1"/>
        <v>0</v>
      </c>
      <c r="I19" s="21">
        <f t="shared" si="2"/>
        <v>980</v>
      </c>
      <c r="J19" s="22" t="str">
        <f t="shared" si="3"/>
        <v>Electronics</v>
      </c>
      <c r="L19" s="23" t="s">
        <v>36</v>
      </c>
      <c r="M19" s="24" t="s">
        <v>35</v>
      </c>
      <c r="O19" s="23" t="s">
        <v>95</v>
      </c>
      <c r="P19" s="25" t="s">
        <v>33</v>
      </c>
      <c r="Q19" s="25" t="s">
        <v>96</v>
      </c>
      <c r="R19" s="25">
        <v>980.0</v>
      </c>
      <c r="S19" s="25">
        <v>10.0</v>
      </c>
      <c r="T19" s="24" t="s">
        <v>35</v>
      </c>
      <c r="V19" s="26">
        <v>45684.0</v>
      </c>
      <c r="W19" s="21" t="s">
        <v>97</v>
      </c>
      <c r="X19" s="24" t="str">
        <f t="shared" si="4"/>
        <v>laptop-Asus</v>
      </c>
      <c r="Z19" s="27">
        <v>980.0</v>
      </c>
      <c r="AA19" s="28">
        <v>45684.0</v>
      </c>
      <c r="AC19" s="29">
        <v>980.0</v>
      </c>
      <c r="AD19" s="30" t="s">
        <v>35</v>
      </c>
    </row>
    <row r="20" ht="15.75" customHeight="1">
      <c r="A20" s="5" t="s">
        <v>98</v>
      </c>
      <c r="B20" s="5" t="s">
        <v>99</v>
      </c>
      <c r="C20" s="5" t="s">
        <v>100</v>
      </c>
      <c r="D20" s="5">
        <v>150.0</v>
      </c>
      <c r="E20" s="5">
        <v>15.0</v>
      </c>
      <c r="F20" s="5" t="s">
        <v>41</v>
      </c>
      <c r="H20" s="20" t="b">
        <f t="shared" si="1"/>
        <v>0</v>
      </c>
      <c r="I20" s="21">
        <f t="shared" si="2"/>
        <v>150</v>
      </c>
      <c r="J20" s="22" t="str">
        <f t="shared" si="3"/>
        <v>Fashion</v>
      </c>
      <c r="L20" s="23" t="s">
        <v>99</v>
      </c>
      <c r="M20" s="24" t="s">
        <v>41</v>
      </c>
      <c r="O20" s="23" t="s">
        <v>98</v>
      </c>
      <c r="P20" s="25" t="s">
        <v>99</v>
      </c>
      <c r="Q20" s="25" t="s">
        <v>100</v>
      </c>
      <c r="R20" s="25">
        <v>150.0</v>
      </c>
      <c r="S20" s="25">
        <v>15.0</v>
      </c>
      <c r="T20" s="24" t="s">
        <v>41</v>
      </c>
      <c r="V20" s="26">
        <v>45717.0</v>
      </c>
      <c r="W20" s="21" t="s">
        <v>58</v>
      </c>
      <c r="X20" s="24" t="str">
        <f t="shared" si="4"/>
        <v>Sunglasses-Oakley</v>
      </c>
      <c r="Z20" s="27">
        <v>150.0</v>
      </c>
      <c r="AA20" s="28">
        <v>45717.0</v>
      </c>
      <c r="AC20" s="29">
        <v>150.0</v>
      </c>
      <c r="AD20" s="30" t="s">
        <v>41</v>
      </c>
    </row>
    <row r="21" ht="15.75" customHeight="1">
      <c r="A21" s="31" t="s">
        <v>101</v>
      </c>
      <c r="B21" s="31" t="s">
        <v>102</v>
      </c>
      <c r="C21" s="31" t="s">
        <v>103</v>
      </c>
      <c r="D21" s="31"/>
      <c r="E21" s="31">
        <v>10.0</v>
      </c>
      <c r="F21" s="31" t="s">
        <v>71</v>
      </c>
      <c r="H21" s="20" t="b">
        <f t="shared" si="1"/>
        <v>1</v>
      </c>
      <c r="I21" s="21">
        <f t="shared" si="2"/>
        <v>130</v>
      </c>
      <c r="J21" s="22" t="str">
        <f t="shared" si="3"/>
        <v>Outdoor</v>
      </c>
      <c r="L21" s="23" t="s">
        <v>102</v>
      </c>
      <c r="M21" s="24" t="s">
        <v>71</v>
      </c>
      <c r="O21" s="23" t="s">
        <v>101</v>
      </c>
      <c r="P21" s="25" t="s">
        <v>102</v>
      </c>
      <c r="Q21" s="25" t="s">
        <v>103</v>
      </c>
      <c r="R21" s="25">
        <v>130.0</v>
      </c>
      <c r="S21" s="25">
        <v>10.0</v>
      </c>
      <c r="T21" s="24" t="s">
        <v>71</v>
      </c>
      <c r="V21" s="26">
        <v>45883.0</v>
      </c>
      <c r="W21" s="21" t="s">
        <v>37</v>
      </c>
      <c r="X21" s="24" t="str">
        <f t="shared" si="4"/>
        <v>Camping Tent-Coleman</v>
      </c>
      <c r="Z21" s="27">
        <v>309.35483870967744</v>
      </c>
      <c r="AA21" s="28">
        <v>45883.0</v>
      </c>
      <c r="AC21" s="29">
        <v>309.35483870967744</v>
      </c>
      <c r="AD21" s="30" t="s">
        <v>71</v>
      </c>
    </row>
    <row r="22" ht="15.75" customHeight="1">
      <c r="A22" s="5" t="s">
        <v>104</v>
      </c>
      <c r="B22" s="5" t="s">
        <v>105</v>
      </c>
      <c r="C22" s="5" t="s">
        <v>106</v>
      </c>
      <c r="D22" s="5">
        <v>700.0</v>
      </c>
      <c r="E22" s="5">
        <v>50.0</v>
      </c>
      <c r="F22" s="5" t="s">
        <v>35</v>
      </c>
      <c r="H22" s="20" t="b">
        <f t="shared" si="1"/>
        <v>0</v>
      </c>
      <c r="I22" s="21">
        <f t="shared" si="2"/>
        <v>700</v>
      </c>
      <c r="J22" s="22" t="str">
        <f t="shared" si="3"/>
        <v>Electronics</v>
      </c>
      <c r="L22" s="23" t="s">
        <v>105</v>
      </c>
      <c r="M22" s="24" t="s">
        <v>35</v>
      </c>
      <c r="O22" s="23" t="s">
        <v>104</v>
      </c>
      <c r="P22" s="25" t="s">
        <v>105</v>
      </c>
      <c r="Q22" s="25" t="s">
        <v>106</v>
      </c>
      <c r="R22" s="25">
        <v>700.0</v>
      </c>
      <c r="S22" s="25">
        <v>50.0</v>
      </c>
      <c r="T22" s="24" t="s">
        <v>35</v>
      </c>
      <c r="V22" s="26">
        <v>45791.0</v>
      </c>
      <c r="W22" s="21" t="s">
        <v>107</v>
      </c>
      <c r="X22" s="24" t="str">
        <f t="shared" si="4"/>
        <v>Camera-Nikon</v>
      </c>
      <c r="Z22" s="27">
        <v>700.0</v>
      </c>
      <c r="AA22" s="28">
        <v>45791.0</v>
      </c>
      <c r="AC22" s="29">
        <v>700.0</v>
      </c>
      <c r="AD22" s="30" t="s">
        <v>35</v>
      </c>
    </row>
    <row r="23" ht="15.75" customHeight="1">
      <c r="A23" s="31" t="s">
        <v>108</v>
      </c>
      <c r="B23" s="31" t="s">
        <v>109</v>
      </c>
      <c r="C23" s="31" t="s">
        <v>110</v>
      </c>
      <c r="D23" s="31">
        <v>80.0</v>
      </c>
      <c r="E23" s="31">
        <v>20.0</v>
      </c>
      <c r="F23" s="31" t="s">
        <v>45</v>
      </c>
      <c r="H23" s="20" t="b">
        <f t="shared" si="1"/>
        <v>0</v>
      </c>
      <c r="I23" s="21">
        <f t="shared" si="2"/>
        <v>80</v>
      </c>
      <c r="J23" s="22" t="str">
        <f t="shared" si="3"/>
        <v>Kitchen</v>
      </c>
      <c r="L23" s="23" t="s">
        <v>109</v>
      </c>
      <c r="M23" s="24" t="s">
        <v>45</v>
      </c>
      <c r="O23" s="23" t="s">
        <v>108</v>
      </c>
      <c r="P23" s="25" t="s">
        <v>109</v>
      </c>
      <c r="Q23" s="25" t="s">
        <v>110</v>
      </c>
      <c r="R23" s="25">
        <v>80.0</v>
      </c>
      <c r="S23" s="25">
        <v>20.0</v>
      </c>
      <c r="T23" s="24" t="s">
        <v>45</v>
      </c>
      <c r="V23" s="26">
        <v>45666.0</v>
      </c>
      <c r="W23" s="21" t="s">
        <v>83</v>
      </c>
      <c r="X23" s="24" t="str">
        <f t="shared" si="4"/>
        <v>Microwave-Panasonic</v>
      </c>
      <c r="Z23" s="27">
        <v>80.0</v>
      </c>
      <c r="AA23" s="28">
        <v>45666.0</v>
      </c>
      <c r="AC23" s="29">
        <v>80.0</v>
      </c>
      <c r="AD23" s="30" t="s">
        <v>45</v>
      </c>
    </row>
    <row r="24" ht="15.75" customHeight="1">
      <c r="A24" s="5" t="s">
        <v>111</v>
      </c>
      <c r="B24" s="5" t="s">
        <v>112</v>
      </c>
      <c r="C24" s="5" t="s">
        <v>113</v>
      </c>
      <c r="D24" s="5">
        <v>150.0</v>
      </c>
      <c r="E24" s="5">
        <v>30.0</v>
      </c>
      <c r="F24" s="5"/>
      <c r="H24" s="20" t="b">
        <f t="shared" si="1"/>
        <v>0</v>
      </c>
      <c r="I24" s="21">
        <f t="shared" si="2"/>
        <v>150</v>
      </c>
      <c r="J24" s="22" t="str">
        <f t="shared" si="3"/>
        <v>Unknown</v>
      </c>
      <c r="L24" s="23" t="s">
        <v>112</v>
      </c>
      <c r="M24" s="24" t="s">
        <v>53</v>
      </c>
      <c r="O24" s="23" t="s">
        <v>111</v>
      </c>
      <c r="P24" s="25" t="s">
        <v>112</v>
      </c>
      <c r="Q24" s="25" t="s">
        <v>113</v>
      </c>
      <c r="R24" s="25">
        <v>150.0</v>
      </c>
      <c r="S24" s="25">
        <v>30.0</v>
      </c>
      <c r="T24" s="24" t="s">
        <v>53</v>
      </c>
      <c r="V24" s="26">
        <v>45857.0</v>
      </c>
      <c r="W24" s="21" t="s">
        <v>114</v>
      </c>
      <c r="X24" s="24" t="str">
        <f t="shared" si="4"/>
        <v>Fitness Tracker-Xiaomi</v>
      </c>
      <c r="Z24" s="27">
        <v>150.0</v>
      </c>
      <c r="AA24" s="28">
        <v>45857.0</v>
      </c>
      <c r="AC24" s="29">
        <v>150.0</v>
      </c>
      <c r="AD24" s="30" t="s">
        <v>53</v>
      </c>
    </row>
    <row r="25" ht="15.75" customHeight="1">
      <c r="A25" s="31" t="s">
        <v>88</v>
      </c>
      <c r="B25" s="31" t="s">
        <v>89</v>
      </c>
      <c r="C25" s="31" t="s">
        <v>90</v>
      </c>
      <c r="D25" s="31">
        <v>50.0</v>
      </c>
      <c r="E25" s="31">
        <v>35.0</v>
      </c>
      <c r="F25" s="31" t="s">
        <v>91</v>
      </c>
      <c r="H25" s="20" t="b">
        <f t="shared" si="1"/>
        <v>0</v>
      </c>
      <c r="I25" s="21">
        <f t="shared" si="2"/>
        <v>50</v>
      </c>
      <c r="J25" s="22" t="str">
        <f t="shared" si="3"/>
        <v>Accessories</v>
      </c>
      <c r="L25" s="23" t="s">
        <v>89</v>
      </c>
      <c r="M25" s="24" t="s">
        <v>91</v>
      </c>
      <c r="O25" s="23" t="s">
        <v>115</v>
      </c>
      <c r="P25" s="25" t="s">
        <v>49</v>
      </c>
      <c r="Q25" s="25" t="s">
        <v>116</v>
      </c>
      <c r="R25" s="25">
        <v>800.0</v>
      </c>
      <c r="S25" s="25">
        <v>45.0</v>
      </c>
      <c r="T25" s="24" t="s">
        <v>35</v>
      </c>
      <c r="V25" s="26">
        <v>45890.0</v>
      </c>
      <c r="W25" s="21" t="s">
        <v>83</v>
      </c>
      <c r="X25" s="24" t="str">
        <f t="shared" si="4"/>
        <v>Laptop Bag-Samsonite</v>
      </c>
      <c r="Z25" s="27">
        <v>50.0</v>
      </c>
      <c r="AA25" s="28">
        <v>45890.0</v>
      </c>
      <c r="AC25" s="29">
        <v>50.0</v>
      </c>
      <c r="AD25" s="30" t="s">
        <v>91</v>
      </c>
    </row>
    <row r="26" ht="15.75" customHeight="1">
      <c r="A26" s="5" t="s">
        <v>115</v>
      </c>
      <c r="B26" s="5" t="s">
        <v>49</v>
      </c>
      <c r="C26" s="5" t="s">
        <v>116</v>
      </c>
      <c r="D26" s="5">
        <v>800.0</v>
      </c>
      <c r="E26" s="5">
        <v>45.0</v>
      </c>
      <c r="F26" s="5" t="s">
        <v>35</v>
      </c>
      <c r="H26" s="20" t="b">
        <f t="shared" si="1"/>
        <v>0</v>
      </c>
      <c r="I26" s="21">
        <f t="shared" si="2"/>
        <v>800</v>
      </c>
      <c r="J26" s="22" t="str">
        <f t="shared" si="3"/>
        <v>Electronics</v>
      </c>
      <c r="L26" s="23" t="s">
        <v>49</v>
      </c>
      <c r="M26" s="24" t="s">
        <v>35</v>
      </c>
      <c r="O26" s="23" t="s">
        <v>117</v>
      </c>
      <c r="P26" s="25" t="s">
        <v>99</v>
      </c>
      <c r="Q26" s="25" t="s">
        <v>118</v>
      </c>
      <c r="R26" s="25">
        <v>74.0</v>
      </c>
      <c r="S26" s="25">
        <v>25.0</v>
      </c>
      <c r="T26" s="24" t="s">
        <v>41</v>
      </c>
      <c r="V26" s="26">
        <v>45929.0</v>
      </c>
      <c r="W26" s="21" t="s">
        <v>83</v>
      </c>
      <c r="X26" s="24" t="str">
        <f t="shared" si="4"/>
        <v>Smartphone-Google</v>
      </c>
      <c r="Z26" s="27">
        <v>800.0</v>
      </c>
      <c r="AA26" s="28">
        <v>45929.0</v>
      </c>
      <c r="AC26" s="29">
        <v>800.0</v>
      </c>
      <c r="AD26" s="30" t="s">
        <v>35</v>
      </c>
    </row>
    <row r="27" ht="15.75" customHeight="1">
      <c r="A27" s="31" t="s">
        <v>117</v>
      </c>
      <c r="B27" s="31" t="s">
        <v>99</v>
      </c>
      <c r="C27" s="31" t="s">
        <v>118</v>
      </c>
      <c r="D27" s="31"/>
      <c r="E27" s="31">
        <v>25.0</v>
      </c>
      <c r="F27" s="31" t="s">
        <v>41</v>
      </c>
      <c r="H27" s="20" t="b">
        <f t="shared" si="1"/>
        <v>1</v>
      </c>
      <c r="I27" s="21">
        <f t="shared" si="2"/>
        <v>74</v>
      </c>
      <c r="J27" s="22" t="str">
        <f t="shared" si="3"/>
        <v>Fashion</v>
      </c>
      <c r="L27" s="23" t="s">
        <v>99</v>
      </c>
      <c r="M27" s="24" t="s">
        <v>41</v>
      </c>
      <c r="O27" s="23" t="s">
        <v>119</v>
      </c>
      <c r="P27" s="25" t="s">
        <v>63</v>
      </c>
      <c r="Q27" s="25" t="s">
        <v>120</v>
      </c>
      <c r="R27" s="25">
        <v>400.0</v>
      </c>
      <c r="S27" s="25">
        <v>40.0</v>
      </c>
      <c r="T27" s="24" t="s">
        <v>45</v>
      </c>
      <c r="V27" s="26">
        <v>45811.0</v>
      </c>
      <c r="W27" s="21" t="s">
        <v>83</v>
      </c>
      <c r="X27" s="24" t="str">
        <f t="shared" si="4"/>
        <v>Sunglasses-Ray-Ban</v>
      </c>
      <c r="Z27" s="27">
        <v>309.35483870967744</v>
      </c>
      <c r="AA27" s="28">
        <v>45811.0</v>
      </c>
      <c r="AC27" s="29">
        <v>309.35483870967744</v>
      </c>
      <c r="AD27" s="30" t="s">
        <v>41</v>
      </c>
    </row>
    <row r="28" ht="15.75" customHeight="1">
      <c r="A28" s="5" t="s">
        <v>119</v>
      </c>
      <c r="B28" s="5" t="s">
        <v>63</v>
      </c>
      <c r="C28" s="5" t="s">
        <v>120</v>
      </c>
      <c r="D28" s="5">
        <v>400.0</v>
      </c>
      <c r="E28" s="5">
        <v>40.0</v>
      </c>
      <c r="F28" s="5" t="s">
        <v>45</v>
      </c>
      <c r="H28" s="20" t="b">
        <f t="shared" si="1"/>
        <v>0</v>
      </c>
      <c r="I28" s="21">
        <f t="shared" si="2"/>
        <v>400</v>
      </c>
      <c r="J28" s="22" t="str">
        <f t="shared" si="3"/>
        <v>Kitchen</v>
      </c>
      <c r="L28" s="23" t="s">
        <v>63</v>
      </c>
      <c r="M28" s="24" t="s">
        <v>45</v>
      </c>
      <c r="O28" s="23" t="s">
        <v>121</v>
      </c>
      <c r="P28" s="25" t="s">
        <v>122</v>
      </c>
      <c r="Q28" s="25" t="s">
        <v>123</v>
      </c>
      <c r="R28" s="25">
        <v>60.0</v>
      </c>
      <c r="S28" s="25">
        <v>30.0</v>
      </c>
      <c r="T28" s="24" t="s">
        <v>41</v>
      </c>
      <c r="V28" s="26">
        <v>45849.0</v>
      </c>
      <c r="W28" s="21" t="s">
        <v>83</v>
      </c>
      <c r="X28" s="24" t="str">
        <f t="shared" si="4"/>
        <v>Blender-Vitamix</v>
      </c>
      <c r="Z28" s="27">
        <v>400.0</v>
      </c>
      <c r="AA28" s="28">
        <v>45849.0</v>
      </c>
      <c r="AC28" s="29">
        <v>400.0</v>
      </c>
      <c r="AD28" s="30" t="s">
        <v>45</v>
      </c>
    </row>
    <row r="29" ht="15.75" customHeight="1">
      <c r="A29" s="31" t="s">
        <v>84</v>
      </c>
      <c r="B29" s="31" t="s">
        <v>85</v>
      </c>
      <c r="C29" s="31" t="s">
        <v>86</v>
      </c>
      <c r="D29" s="31">
        <v>250.0</v>
      </c>
      <c r="E29" s="31">
        <v>20.0</v>
      </c>
      <c r="F29" s="31" t="s">
        <v>57</v>
      </c>
      <c r="H29" s="20" t="b">
        <f t="shared" si="1"/>
        <v>0</v>
      </c>
      <c r="I29" s="21">
        <f t="shared" si="2"/>
        <v>250</v>
      </c>
      <c r="J29" s="22" t="str">
        <f t="shared" si="3"/>
        <v>Electroni</v>
      </c>
      <c r="L29" s="23" t="s">
        <v>55</v>
      </c>
      <c r="M29" s="24" t="s">
        <v>35</v>
      </c>
      <c r="O29" s="23" t="s">
        <v>124</v>
      </c>
      <c r="P29" s="25" t="s">
        <v>125</v>
      </c>
      <c r="Q29" s="25" t="s">
        <v>126</v>
      </c>
      <c r="R29" s="25">
        <v>40.0</v>
      </c>
      <c r="S29" s="25">
        <v>10.0</v>
      </c>
      <c r="T29" s="24" t="s">
        <v>45</v>
      </c>
      <c r="V29" s="26">
        <v>45763.0</v>
      </c>
      <c r="W29" s="21" t="s">
        <v>87</v>
      </c>
      <c r="X29" s="24" t="str">
        <f t="shared" si="4"/>
        <v>headphones-Bose</v>
      </c>
      <c r="Z29" s="27">
        <v>250.0</v>
      </c>
      <c r="AA29" s="28">
        <v>45763.0</v>
      </c>
      <c r="AC29" s="29">
        <v>250.0</v>
      </c>
      <c r="AD29" s="30" t="s">
        <v>35</v>
      </c>
    </row>
    <row r="30" ht="15.75" customHeight="1">
      <c r="A30" s="5" t="s">
        <v>121</v>
      </c>
      <c r="B30" s="5" t="s">
        <v>122</v>
      </c>
      <c r="C30" s="5" t="s">
        <v>123</v>
      </c>
      <c r="D30" s="5">
        <v>60.0</v>
      </c>
      <c r="E30" s="5">
        <v>30.0</v>
      </c>
      <c r="F30" s="5" t="s">
        <v>41</v>
      </c>
      <c r="H30" s="20" t="b">
        <f t="shared" si="1"/>
        <v>0</v>
      </c>
      <c r="I30" s="21">
        <f t="shared" si="2"/>
        <v>60</v>
      </c>
      <c r="J30" s="22" t="str">
        <f t="shared" si="3"/>
        <v>Fashion</v>
      </c>
      <c r="L30" s="23" t="s">
        <v>122</v>
      </c>
      <c r="M30" s="24" t="s">
        <v>41</v>
      </c>
      <c r="O30" s="23" t="s">
        <v>127</v>
      </c>
      <c r="P30" s="25" t="s">
        <v>112</v>
      </c>
      <c r="Q30" s="25" t="s">
        <v>128</v>
      </c>
      <c r="R30" s="25">
        <v>130.0</v>
      </c>
      <c r="S30" s="25">
        <v>5.0</v>
      </c>
      <c r="T30" s="24" t="s">
        <v>35</v>
      </c>
      <c r="V30" s="26">
        <v>45723.0</v>
      </c>
      <c r="W30" s="21" t="s">
        <v>83</v>
      </c>
      <c r="X30" s="24" t="str">
        <f t="shared" si="4"/>
        <v>Dress-Zara</v>
      </c>
      <c r="Z30" s="27">
        <v>60.0</v>
      </c>
      <c r="AA30" s="28">
        <v>45723.0</v>
      </c>
      <c r="AC30" s="29">
        <v>60.0</v>
      </c>
      <c r="AD30" s="30" t="s">
        <v>41</v>
      </c>
    </row>
    <row r="31" ht="15.75" customHeight="1">
      <c r="A31" s="31" t="s">
        <v>124</v>
      </c>
      <c r="B31" s="31" t="s">
        <v>125</v>
      </c>
      <c r="C31" s="31" t="s">
        <v>126</v>
      </c>
      <c r="D31" s="31">
        <v>40.0</v>
      </c>
      <c r="E31" s="31">
        <v>10.0</v>
      </c>
      <c r="F31" s="31" t="s">
        <v>45</v>
      </c>
      <c r="H31" s="20" t="b">
        <f t="shared" si="1"/>
        <v>0</v>
      </c>
      <c r="I31" s="21">
        <f t="shared" si="2"/>
        <v>40</v>
      </c>
      <c r="J31" s="22" t="str">
        <f t="shared" si="3"/>
        <v>Kitchen</v>
      </c>
      <c r="L31" s="23" t="s">
        <v>125</v>
      </c>
      <c r="M31" s="24" t="s">
        <v>45</v>
      </c>
      <c r="O31" s="23" t="s">
        <v>129</v>
      </c>
      <c r="P31" s="25" t="s">
        <v>130</v>
      </c>
      <c r="Q31" s="25" t="s">
        <v>131</v>
      </c>
      <c r="R31" s="25">
        <v>50.0</v>
      </c>
      <c r="S31" s="25">
        <v>50.0</v>
      </c>
      <c r="T31" s="24" t="s">
        <v>41</v>
      </c>
      <c r="V31" s="26">
        <v>45760.0</v>
      </c>
      <c r="W31" s="21" t="s">
        <v>83</v>
      </c>
      <c r="X31" s="24" t="str">
        <f t="shared" si="4"/>
        <v>Toaster-Hamilton</v>
      </c>
      <c r="Z31" s="27">
        <v>40.0</v>
      </c>
      <c r="AA31" s="28">
        <v>45760.0</v>
      </c>
      <c r="AC31" s="29">
        <v>40.0</v>
      </c>
      <c r="AD31" s="30" t="s">
        <v>45</v>
      </c>
    </row>
    <row r="32" ht="15.75" customHeight="1">
      <c r="A32" s="5" t="s">
        <v>127</v>
      </c>
      <c r="B32" s="5" t="s">
        <v>112</v>
      </c>
      <c r="C32" s="5" t="s">
        <v>128</v>
      </c>
      <c r="D32" s="5">
        <v>130.0</v>
      </c>
      <c r="E32" s="5">
        <v>5.0</v>
      </c>
      <c r="F32" s="5" t="s">
        <v>35</v>
      </c>
      <c r="H32" s="20" t="b">
        <f t="shared" si="1"/>
        <v>0</v>
      </c>
      <c r="I32" s="21">
        <f t="shared" si="2"/>
        <v>130</v>
      </c>
      <c r="J32" s="22" t="str">
        <f t="shared" si="3"/>
        <v>Electronics</v>
      </c>
      <c r="L32" s="23" t="s">
        <v>112</v>
      </c>
      <c r="M32" s="24" t="s">
        <v>35</v>
      </c>
      <c r="O32" s="34" t="s">
        <v>132</v>
      </c>
      <c r="P32" s="35" t="s">
        <v>133</v>
      </c>
      <c r="Q32" s="35" t="s">
        <v>134</v>
      </c>
      <c r="R32" s="35">
        <v>100.0</v>
      </c>
      <c r="S32" s="35">
        <v>20.0</v>
      </c>
      <c r="T32" s="36" t="s">
        <v>91</v>
      </c>
      <c r="V32" s="26">
        <v>45801.0</v>
      </c>
      <c r="W32" s="21" t="s">
        <v>83</v>
      </c>
      <c r="X32" s="24" t="str">
        <f t="shared" si="4"/>
        <v>Fitness Tracker-Garmin</v>
      </c>
      <c r="Z32" s="27">
        <v>130.0</v>
      </c>
      <c r="AA32" s="28">
        <v>45801.0</v>
      </c>
      <c r="AC32" s="29">
        <v>130.0</v>
      </c>
      <c r="AD32" s="30" t="s">
        <v>35</v>
      </c>
    </row>
    <row r="33" ht="15.75" customHeight="1">
      <c r="A33" s="31" t="s">
        <v>129</v>
      </c>
      <c r="B33" s="31" t="s">
        <v>130</v>
      </c>
      <c r="C33" s="31" t="s">
        <v>131</v>
      </c>
      <c r="D33" s="31">
        <v>50.0</v>
      </c>
      <c r="E33" s="31">
        <v>50.0</v>
      </c>
      <c r="F33" s="31" t="s">
        <v>41</v>
      </c>
      <c r="H33" s="20" t="b">
        <f t="shared" si="1"/>
        <v>0</v>
      </c>
      <c r="I33" s="21">
        <f t="shared" si="2"/>
        <v>50</v>
      </c>
      <c r="J33" s="22" t="str">
        <f t="shared" si="3"/>
        <v>Fashion</v>
      </c>
      <c r="L33" s="23" t="s">
        <v>130</v>
      </c>
      <c r="M33" s="24" t="s">
        <v>41</v>
      </c>
      <c r="V33" s="26">
        <v>45993.0</v>
      </c>
      <c r="W33" s="21" t="s">
        <v>83</v>
      </c>
      <c r="X33" s="24" t="str">
        <f t="shared" si="4"/>
        <v>Jeans-Levi's</v>
      </c>
      <c r="Z33" s="27">
        <v>50.0</v>
      </c>
      <c r="AA33" s="28">
        <v>45993.0</v>
      </c>
      <c r="AC33" s="29">
        <v>50.0</v>
      </c>
      <c r="AD33" s="30" t="s">
        <v>41</v>
      </c>
    </row>
    <row r="34" ht="15.75" customHeight="1">
      <c r="A34" s="5" t="s">
        <v>72</v>
      </c>
      <c r="B34" s="5" t="s">
        <v>36</v>
      </c>
      <c r="C34" s="5" t="s">
        <v>73</v>
      </c>
      <c r="D34" s="5">
        <v>950.0</v>
      </c>
      <c r="E34" s="5">
        <v>25.0</v>
      </c>
      <c r="F34" s="5" t="s">
        <v>35</v>
      </c>
      <c r="H34" s="20" t="b">
        <f t="shared" si="1"/>
        <v>0</v>
      </c>
      <c r="I34" s="21">
        <f t="shared" si="2"/>
        <v>950</v>
      </c>
      <c r="J34" s="22" t="str">
        <f t="shared" si="3"/>
        <v>Electronics</v>
      </c>
      <c r="L34" s="23" t="s">
        <v>36</v>
      </c>
      <c r="M34" s="24" t="s">
        <v>35</v>
      </c>
      <c r="V34" s="26">
        <v>45825.0</v>
      </c>
      <c r="W34" s="21" t="s">
        <v>74</v>
      </c>
      <c r="X34" s="24" t="str">
        <f t="shared" si="4"/>
        <v>Laptop-HP</v>
      </c>
      <c r="Z34" s="27">
        <v>950.0</v>
      </c>
      <c r="AA34" s="28">
        <v>45825.0</v>
      </c>
      <c r="AC34" s="29">
        <v>950.0</v>
      </c>
      <c r="AD34" s="30" t="s">
        <v>35</v>
      </c>
    </row>
    <row r="35" ht="15.75" customHeight="1">
      <c r="A35" s="31" t="s">
        <v>132</v>
      </c>
      <c r="B35" s="31" t="s">
        <v>133</v>
      </c>
      <c r="C35" s="31" t="s">
        <v>134</v>
      </c>
      <c r="D35" s="31">
        <v>100.0</v>
      </c>
      <c r="E35" s="31">
        <v>20.0</v>
      </c>
      <c r="F35" s="31" t="s">
        <v>91</v>
      </c>
      <c r="H35" s="37" t="b">
        <f t="shared" si="1"/>
        <v>0</v>
      </c>
      <c r="I35" s="38">
        <f t="shared" si="2"/>
        <v>100</v>
      </c>
      <c r="J35" s="39" t="str">
        <f t="shared" si="3"/>
        <v>Accessories</v>
      </c>
      <c r="L35" s="34" t="s">
        <v>133</v>
      </c>
      <c r="M35" s="36" t="s">
        <v>91</v>
      </c>
      <c r="V35" s="40">
        <v>45847.0</v>
      </c>
      <c r="W35" s="38" t="s">
        <v>135</v>
      </c>
      <c r="X35" s="36" t="str">
        <f t="shared" si="4"/>
        <v>Watch-Casio</v>
      </c>
      <c r="Z35" s="41">
        <v>100.0</v>
      </c>
      <c r="AA35" s="42">
        <v>45847.0</v>
      </c>
      <c r="AC35" s="43">
        <v>100.0</v>
      </c>
      <c r="AD35" s="44" t="s">
        <v>91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H1:J1"/>
    <mergeCell ref="L1:M1"/>
    <mergeCell ref="O1:T1"/>
    <mergeCell ref="V1:W1"/>
    <mergeCell ref="Z1:AA1"/>
    <mergeCell ref="AC1:AD1"/>
  </mergeCells>
  <conditionalFormatting sqref="AD2:AD35">
    <cfRule type="expression" dxfId="0" priority="1">
      <formula>AD2="Electronics"</formula>
    </cfRule>
  </conditionalFormatting>
  <conditionalFormatting sqref="AD2:AD35">
    <cfRule type="expression" dxfId="1" priority="2">
      <formula>AD2="Electronics"</formula>
    </cfRule>
  </conditionalFormatting>
  <conditionalFormatting sqref="AD2:AD35">
    <cfRule type="expression" dxfId="2" priority="3">
      <formula>AD2="Electronics"</formula>
    </cfRule>
  </conditionalFormatting>
  <conditionalFormatting sqref="AD2:AD35">
    <cfRule type="expression" dxfId="1" priority="4">
      <formula>AD2="Electronics"</formula>
    </cfRule>
  </conditionalFormatting>
  <conditionalFormatting sqref="AD2:AD35">
    <cfRule type="expression" dxfId="3" priority="5">
      <formula>AD2="Electronics"</formula>
    </cfRule>
  </conditionalFormatting>
  <conditionalFormatting sqref="AD2:AD35">
    <cfRule type="containsText" dxfId="4" priority="6" stopIfTrue="1" operator="containsText" text="Electronics">
      <formula>NOT(ISERROR(SEARCH(("Electronics"),(AD2))))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2025-12-08T11:29:05Z</dcterms:created>
  <dc:creator>SAI AARUDH</dc:creator>
</cp:coreProperties>
</file>